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https://kleintools-my.sharepoint.com/personal/amccord_kleintools_com1/Documents/Documents/POU Project/"/>
    </mc:Choice>
  </mc:AlternateContent>
  <xr:revisionPtr revIDLastSave="150" documentId="13_ncr:1_{4ECB631A-6E7A-4307-8662-0AAA1AACA975}" xr6:coauthVersionLast="47" xr6:coauthVersionMax="47" xr10:uidLastSave="{A6D2B115-8113-43B6-84E0-CF953598B644}"/>
  <bookViews>
    <workbookView xWindow="-120" yWindow="-120" windowWidth="29040" windowHeight="15720" xr2:uid="{00000000-000D-0000-FFFF-FFFF00000000}"/>
  </bookViews>
  <sheets>
    <sheet name="Launcher" sheetId="9" r:id="rId1"/>
    <sheet name="Inventory" sheetId="1" r:id="rId2"/>
    <sheet name="Transactions" sheetId="2" r:id="rId3"/>
    <sheet name="InventoryAudit" sheetId="13" r:id="rId4"/>
    <sheet name="ReorderReport" sheetId="8" r:id="rId5"/>
    <sheet name="ReorderQueue" sheetId="10" r:id="rId6"/>
    <sheet name="Usage Summary" sheetId="11" state="hidden" r:id="rId7"/>
    <sheet name="Dashboard" sheetId="12" state="hidden" r:id="rId8"/>
    <sheet name="Users" sheetId="14" r:id="rId9"/>
    <sheet name="Scanner" sheetId="4" state="hidden" r:id="rId10"/>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55" i="1" l="1"/>
  <c r="G254" i="1"/>
  <c r="G253" i="1"/>
  <c r="G252" i="1"/>
  <c r="G251" i="1"/>
  <c r="G250" i="1"/>
  <c r="G243" i="1" l="1"/>
  <c r="G244" i="1"/>
  <c r="G245" i="1"/>
  <c r="G246" i="1"/>
  <c r="G247" i="1"/>
  <c r="G248" i="1"/>
  <c r="G249" i="1"/>
  <c r="G240"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1" i="1"/>
  <c r="G242" i="1"/>
  <c r="G117" i="1"/>
  <c r="G118" i="1"/>
  <c r="G119" i="1"/>
  <c r="G121" i="1"/>
  <c r="G122" i="1"/>
  <c r="G123" i="1"/>
  <c r="G124"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125" i="1"/>
  <c r="G126" i="1"/>
  <c r="G127" i="1"/>
  <c r="G2" i="1"/>
  <c r="G7" i="1"/>
  <c r="G6" i="1"/>
  <c r="G5" i="1"/>
  <c r="G4" i="1"/>
  <c r="G116" i="1"/>
  <c r="G115" i="1"/>
  <c r="G3"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B2" i="12" a="1"/>
  <c r="B2" i="12" s="1"/>
  <c r="B1" i="12"/>
  <c r="B4" i="12" l="1"/>
  <c r="B3" i="12"/>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<sst xmlns="http://schemas.openxmlformats.org/spreadsheetml/2006/main" count="1292" uniqueCount="619">
  <si>
    <t>Item ID</t>
  </si>
  <si>
    <t>Item Name</t>
  </si>
  <si>
    <t>Location</t>
  </si>
  <si>
    <t>Min Qty</t>
  </si>
  <si>
    <t>Max Qty</t>
  </si>
  <si>
    <t>On Hand Qty</t>
  </si>
  <si>
    <t>Barcode</t>
  </si>
  <si>
    <t>Timestamp</t>
  </si>
  <si>
    <t>Transaction Type</t>
  </si>
  <si>
    <t>Quantity</t>
  </si>
  <si>
    <t>User</t>
  </si>
  <si>
    <t>Scan Item Barcode</t>
  </si>
  <si>
    <t>REMOVE</t>
  </si>
  <si>
    <t>Last Transaction Status</t>
  </si>
  <si>
    <t>Ready</t>
  </si>
  <si>
    <t>1-A</t>
  </si>
  <si>
    <t>Filter Media prox sensor</t>
  </si>
  <si>
    <t>Inductive Sensor BES00H2</t>
  </si>
  <si>
    <t>Limit Switch SNS01RW</t>
  </si>
  <si>
    <t xml:space="preserve">Proximity Sensor </t>
  </si>
  <si>
    <t>Cable XS2F-M12PVC4A5M</t>
  </si>
  <si>
    <t xml:space="preserve">SIEPMANN /VG1 Interlocks kits </t>
  </si>
  <si>
    <t>TURCK BS8146-0 D6905406/HAS8141-0</t>
  </si>
  <si>
    <t>1-B</t>
  </si>
  <si>
    <t>Weidmuller 253426 SAIS-3-IDC M8 small</t>
  </si>
  <si>
    <t>70786/ M40172/ 91005</t>
  </si>
  <si>
    <t>Festo 175091 N213</t>
  </si>
  <si>
    <t>TURCK BS51430/ 6901013/ U6513</t>
  </si>
  <si>
    <t>Phoenix Contact SACC-M8MS-3PCON/ 1506752</t>
  </si>
  <si>
    <t>Pressure Switch P/N# PS80-K2-FO307</t>
  </si>
  <si>
    <t>Festo NEBV-Z4WA2L-R-E-5-N-LE2-S1/ 8047680</t>
  </si>
  <si>
    <t>SINEC L2 BUS CONNECTOR IP20</t>
  </si>
  <si>
    <t xml:space="preserve">Digital input module, fail safe </t>
  </si>
  <si>
    <t xml:space="preserve">Terminal module </t>
  </si>
  <si>
    <t>ASB Actuator sensor box</t>
  </si>
  <si>
    <t xml:space="preserve">Micron Siemens PLC fan module, fail safe </t>
  </si>
  <si>
    <t xml:space="preserve">Digital in/output module, fail safe </t>
  </si>
  <si>
    <t xml:space="preserve">Power module </t>
  </si>
  <si>
    <t xml:space="preserve">Digtal input module </t>
  </si>
  <si>
    <t xml:space="preserve">Analog Output module </t>
  </si>
  <si>
    <t xml:space="preserve">DIL MC32 Contactor starter </t>
  </si>
  <si>
    <t>1-D</t>
  </si>
  <si>
    <t xml:space="preserve">KUP11A15120 Plug in 9 pin 120vac Relay </t>
  </si>
  <si>
    <t>KRPA11AN120 120VAC 8 Pin Relay</t>
  </si>
  <si>
    <t>45105RY 24VDC 8 Pin Relay</t>
  </si>
  <si>
    <t xml:space="preserve">45116GRY 10A 240vac/ 28VDC Relay </t>
  </si>
  <si>
    <t xml:space="preserve">45110RY AC120V 50/60Hz </t>
  </si>
  <si>
    <t xml:space="preserve">Contact Module 3SU14001AA10QCAO </t>
  </si>
  <si>
    <t>Saftey Relay PZE</t>
  </si>
  <si>
    <t>232 TTL 9 Pin HSM Comm Cable</t>
  </si>
  <si>
    <t>Cable Type A 3m</t>
  </si>
  <si>
    <t xml:space="preserve">45712CR Purpopse Contactor </t>
  </si>
  <si>
    <t xml:space="preserve">Spindel Chiller controller </t>
  </si>
  <si>
    <t>Parker FM2DDSN</t>
  </si>
  <si>
    <t>1-E</t>
  </si>
  <si>
    <t>LINEARFUHRUG MR25</t>
  </si>
  <si>
    <t>Parker D1VW020DNJW</t>
  </si>
  <si>
    <t xml:space="preserve"> SMC VM220-02-30GA</t>
  </si>
  <si>
    <t xml:space="preserve">SMC VFA5120-02N Valve 2 positioning single </t>
  </si>
  <si>
    <t>Romeheld P/N#1801131</t>
  </si>
  <si>
    <t>Romeheld P/N#1541989</t>
  </si>
  <si>
    <t>Roemheld P/N#1541986</t>
  </si>
  <si>
    <t>Zimmer Group LBP2005AS2-A</t>
  </si>
  <si>
    <t>SMC VR51-C07B</t>
  </si>
  <si>
    <t xml:space="preserve">3/2 Way valve Pneumatic </t>
  </si>
  <si>
    <t xml:space="preserve">Blocking valve Pneumatic </t>
  </si>
  <si>
    <t>MDSSA03-P-80 P/N# 6050901</t>
  </si>
  <si>
    <t>4/3 Way Valve BM4D32</t>
  </si>
  <si>
    <t xml:space="preserve">2/2 Way valve Pneumatic </t>
  </si>
  <si>
    <t>Turck U00170</t>
  </si>
  <si>
    <t>1-F</t>
  </si>
  <si>
    <t>Turck U0131671</t>
  </si>
  <si>
    <t>Connected cable BCC0AFA</t>
  </si>
  <si>
    <t>Connected cable BCC0EC7</t>
  </si>
  <si>
    <t>Turck U2515-19</t>
  </si>
  <si>
    <t>Mouser Electronics Sensor cables MFG# 21348400C79010</t>
  </si>
  <si>
    <t>M12 A coded Cable</t>
  </si>
  <si>
    <t>Turck U2172</t>
  </si>
  <si>
    <t>Turck U99-10780</t>
  </si>
  <si>
    <t xml:space="preserve">Light Curtian Brackets </t>
  </si>
  <si>
    <t>Saftey Curtian Cable P/N#60555-1100</t>
  </si>
  <si>
    <t xml:space="preserve">Balluff 335441 Proximity Switch </t>
  </si>
  <si>
    <t>IFM EVC531</t>
  </si>
  <si>
    <t>RS M12 F connector angled A coded 4 pin</t>
  </si>
  <si>
    <t>K51001</t>
  </si>
  <si>
    <t>METAL DRESSER MM-0303-8014 (Bottom Bracket)</t>
  </si>
  <si>
    <t>4-A</t>
  </si>
  <si>
    <t>K51002</t>
  </si>
  <si>
    <t>METAL DRESSER MM-0303-8015 (Top Bracket)</t>
  </si>
  <si>
    <t>K51003</t>
  </si>
  <si>
    <t>METAL DRESSER MM-0303-8016 ( Side Plates)</t>
  </si>
  <si>
    <t>K51004</t>
  </si>
  <si>
    <t>METAL DRESSER MM-0303-8013 (Metal Dresser cover)</t>
  </si>
  <si>
    <t>Banner WSL27CW570DSQ Micron (Operator Light)</t>
  </si>
  <si>
    <t>Rexroth MNR#R159161020 (Pillow Block)</t>
  </si>
  <si>
    <t>K100848</t>
  </si>
  <si>
    <t>GRINDING WHEEL VP3C 120 S60 K5 - 200X90X150/190X75</t>
  </si>
  <si>
    <t>4-B</t>
  </si>
  <si>
    <t>K100101</t>
  </si>
  <si>
    <t>IBC 7214.C.T.P2H.UL Main Spindle Bearing</t>
  </si>
  <si>
    <t>4-C</t>
  </si>
  <si>
    <t>K100481</t>
  </si>
  <si>
    <t>SPINDLE BEARING B7010-C-T-P4S-UL FAG 7010CYLP4</t>
  </si>
  <si>
    <t>K25704</t>
  </si>
  <si>
    <t>BEARING L225HDF1750</t>
  </si>
  <si>
    <t>K25706</t>
  </si>
  <si>
    <t>57TAC90ASUC11PN7B</t>
  </si>
  <si>
    <t>K19319</t>
  </si>
  <si>
    <t>BEARING SET 7010CD/P4ADGA 2 PIECE</t>
  </si>
  <si>
    <t>K102387</t>
  </si>
  <si>
    <t>6010H-2RS/F Bearing - Round Bore, 40 mm ID, 68 mm OD, 15 mm Width, Double Sealed</t>
  </si>
  <si>
    <t>K100079</t>
  </si>
  <si>
    <t>IBC Bearing IBC 7009.C.T.P4A.UL</t>
  </si>
  <si>
    <t>K25718</t>
  </si>
  <si>
    <t>30TAC72BSUC10PN7B</t>
  </si>
  <si>
    <t>K25708</t>
  </si>
  <si>
    <t>BEARING 20TAC47BSUC10</t>
  </si>
  <si>
    <t>K25739</t>
  </si>
  <si>
    <t>BEARING HK3020</t>
  </si>
  <si>
    <t>K25716</t>
  </si>
  <si>
    <t>BEARING 7202-B-TVP</t>
  </si>
  <si>
    <t>BEARING 6010-2RSJEM</t>
  </si>
  <si>
    <t>Rexroth MNR#R341400706</t>
  </si>
  <si>
    <t>SKF Explorer 3305-A-2Z</t>
  </si>
  <si>
    <t>Koyo 7009C-5GL FG-P4-ZK-0018V</t>
  </si>
  <si>
    <t>IBC BS20M47/14.P4A.UM</t>
  </si>
  <si>
    <t>SKF BSD 2047 CGA</t>
  </si>
  <si>
    <t>FAG B7009-C-T-P4S-UL</t>
  </si>
  <si>
    <t>IBC 30M72.P4A.UM</t>
  </si>
  <si>
    <t>INA IR70x80x25-XL (254989100000)</t>
  </si>
  <si>
    <t xml:space="preserve">Miscellaneous Items from Wire Strippers </t>
  </si>
  <si>
    <t>4-D</t>
  </si>
  <si>
    <t>Coolant Hoses for Microns 6037+6034</t>
  </si>
  <si>
    <t>4-E</t>
  </si>
  <si>
    <t>K100812</t>
  </si>
  <si>
    <t>OLD STYLE READER HEAD/ENCODER SMA-2X-35-SU (580 101 515)</t>
  </si>
  <si>
    <t>4-G</t>
  </si>
  <si>
    <t>K100810</t>
  </si>
  <si>
    <t>SCHNEEBERGER MONORAIL MRW 45-C–G1-V3-R1-CN-S99-LG</t>
  </si>
  <si>
    <t>Area:</t>
  </si>
  <si>
    <t>Wire Strippers</t>
  </si>
  <si>
    <t>Name</t>
  </si>
  <si>
    <t>On Hand</t>
  </si>
  <si>
    <t>Min</t>
  </si>
  <si>
    <t>Reorder Qty</t>
  </si>
  <si>
    <t>Status</t>
  </si>
  <si>
    <t>LOW</t>
  </si>
  <si>
    <t>CRITICAL</t>
  </si>
  <si>
    <t>Current Qty</t>
  </si>
  <si>
    <t>Max</t>
  </si>
  <si>
    <t>Suggested Order</t>
  </si>
  <si>
    <t>Date Added</t>
  </si>
  <si>
    <t>Total Items</t>
  </si>
  <si>
    <t>Low Stock</t>
  </si>
  <si>
    <t>Total Inventory</t>
  </si>
  <si>
    <t>Critical Items</t>
  </si>
  <si>
    <t>Manufacturer</t>
  </si>
  <si>
    <t>Priority</t>
  </si>
  <si>
    <t>Lead Time</t>
  </si>
  <si>
    <t>Cost per Unit</t>
  </si>
  <si>
    <t>Note: report to show on-hand inventory of priority 1 items</t>
  </si>
  <si>
    <t>TEMP0001</t>
  </si>
  <si>
    <t>TEMP0002</t>
  </si>
  <si>
    <t>TEMP0003</t>
  </si>
  <si>
    <t>TEMP0004</t>
  </si>
  <si>
    <t>TEMP0006</t>
  </si>
  <si>
    <t>TEMP0007</t>
  </si>
  <si>
    <t>TEMP0008</t>
  </si>
  <si>
    <t>TEMP0009</t>
  </si>
  <si>
    <t>TEMP0010</t>
  </si>
  <si>
    <t>TEMP0011</t>
  </si>
  <si>
    <t>TEMP0012</t>
  </si>
  <si>
    <t>TEMP0013</t>
  </si>
  <si>
    <t>TEMP0014</t>
  </si>
  <si>
    <t>TEMP0015</t>
  </si>
  <si>
    <t>TEMP0016</t>
  </si>
  <si>
    <t>TEMP0017</t>
  </si>
  <si>
    <t>TEMP0018</t>
  </si>
  <si>
    <t>TEMP0019</t>
  </si>
  <si>
    <t>TEMP0020</t>
  </si>
  <si>
    <t>TEMP0021</t>
  </si>
  <si>
    <t>TEMP0022</t>
  </si>
  <si>
    <t>TEMP0023</t>
  </si>
  <si>
    <t>TEMP0024</t>
  </si>
  <si>
    <t>TEMP0025</t>
  </si>
  <si>
    <t>TEMP0026</t>
  </si>
  <si>
    <t>TEMP0027</t>
  </si>
  <si>
    <t>TEMP0028</t>
  </si>
  <si>
    <t>TEMP0029</t>
  </si>
  <si>
    <t>TEMP0030</t>
  </si>
  <si>
    <t>TEMP0031</t>
  </si>
  <si>
    <t>TEMP0032</t>
  </si>
  <si>
    <t>TEMP0033</t>
  </si>
  <si>
    <t>TEMP0034</t>
  </si>
  <si>
    <t>TEMP0035</t>
  </si>
  <si>
    <t>TEMP0036</t>
  </si>
  <si>
    <t>TEMP0037</t>
  </si>
  <si>
    <t>TEMP0038</t>
  </si>
  <si>
    <t>TEMP0039</t>
  </si>
  <si>
    <t>TEMP0040</t>
  </si>
  <si>
    <t>TEMP0041</t>
  </si>
  <si>
    <t>TEMP0042</t>
  </si>
  <si>
    <t>TEMP0043</t>
  </si>
  <si>
    <t>TEMP0044</t>
  </si>
  <si>
    <t>TEMP0045</t>
  </si>
  <si>
    <t>TEMP0046</t>
  </si>
  <si>
    <t>TEMP0047</t>
  </si>
  <si>
    <t>TEMP0048</t>
  </si>
  <si>
    <t>TEMP0049</t>
  </si>
  <si>
    <t>TEMP0050</t>
  </si>
  <si>
    <t>TEMP0051</t>
  </si>
  <si>
    <t>TEMP0052</t>
  </si>
  <si>
    <t>TEMP0053</t>
  </si>
  <si>
    <t>TEMP0054</t>
  </si>
  <si>
    <t>TEMP0055</t>
  </si>
  <si>
    <t>TEMP0056</t>
  </si>
  <si>
    <t>TEMP0057</t>
  </si>
  <si>
    <t>TEMP0058</t>
  </si>
  <si>
    <t>TEMP0059</t>
  </si>
  <si>
    <t>TEMP0060</t>
  </si>
  <si>
    <t>TEMP0061</t>
  </si>
  <si>
    <t>TEMP0062</t>
  </si>
  <si>
    <t>TEMP0063</t>
  </si>
  <si>
    <t>TEMP0064</t>
  </si>
  <si>
    <t>TEMP0065</t>
  </si>
  <si>
    <t>TEMP0066</t>
  </si>
  <si>
    <t>TEMP0067</t>
  </si>
  <si>
    <t>TEMP0068</t>
  </si>
  <si>
    <t>TEMP0069</t>
  </si>
  <si>
    <t>TEMP0070</t>
  </si>
  <si>
    <t>TEMP0071</t>
  </si>
  <si>
    <t>TEMP0072</t>
  </si>
  <si>
    <t>TEMP0073</t>
  </si>
  <si>
    <t>TEMP0074</t>
  </si>
  <si>
    <t>TEMP0075</t>
  </si>
  <si>
    <t>TEMP0076</t>
  </si>
  <si>
    <t>TEMP0077</t>
  </si>
  <si>
    <t>TEMP0078</t>
  </si>
  <si>
    <t>TEMP0079</t>
  </si>
  <si>
    <t>TEMP0080</t>
  </si>
  <si>
    <t>TEMP0081</t>
  </si>
  <si>
    <t>TEMP0082</t>
  </si>
  <si>
    <t>TEMP0083</t>
  </si>
  <si>
    <t>TEMP0084</t>
  </si>
  <si>
    <t>TEMP0085</t>
  </si>
  <si>
    <t>TEMP0086</t>
  </si>
  <si>
    <t>TEMP0087</t>
  </si>
  <si>
    <t>TEMP0088</t>
  </si>
  <si>
    <t>TEMP0089</t>
  </si>
  <si>
    <t>TEMP0090</t>
  </si>
  <si>
    <t>TEMP0091</t>
  </si>
  <si>
    <t>Description</t>
  </si>
  <si>
    <t>K100593</t>
  </si>
  <si>
    <t>NEW STYLE CONTACT BLOCK FOR 6294 BPI00A9 BPI 4M303P-5K-BO-SM4CT</t>
  </si>
  <si>
    <t>Junction Block BPI00A9</t>
  </si>
  <si>
    <t>Eaton</t>
  </si>
  <si>
    <t>Balluff</t>
  </si>
  <si>
    <t>E57G-18UPN8-Q Inductive Proximity Sensor</t>
  </si>
  <si>
    <t>K51008</t>
  </si>
  <si>
    <t>Festo</t>
  </si>
  <si>
    <t>SDE5-D10-O-Q6-M8
Festo #527464</t>
  </si>
  <si>
    <t>K25686</t>
  </si>
  <si>
    <t>MM-40072 SPPLY PWR</t>
  </si>
  <si>
    <t>Lapmaster-Wolters</t>
  </si>
  <si>
    <t>5Y06474T</t>
  </si>
  <si>
    <t>K25710</t>
  </si>
  <si>
    <t>Inductive Proximity Sensor BES 516-324-S49-C</t>
  </si>
  <si>
    <t>K100398</t>
  </si>
  <si>
    <t>K25696</t>
  </si>
  <si>
    <t>K100974</t>
  </si>
  <si>
    <t>K102372</t>
  </si>
  <si>
    <t>K100223</t>
  </si>
  <si>
    <t>K25698</t>
  </si>
  <si>
    <t>K101747</t>
  </si>
  <si>
    <t>K100594</t>
  </si>
  <si>
    <t>MA050-8006</t>
  </si>
  <si>
    <t>K102172</t>
  </si>
  <si>
    <t>K25705</t>
  </si>
  <si>
    <t>K100354</t>
  </si>
  <si>
    <t>K25724</t>
  </si>
  <si>
    <t>K25700</t>
  </si>
  <si>
    <t>K100480</t>
  </si>
  <si>
    <t>K25066</t>
  </si>
  <si>
    <t>K102352</t>
  </si>
  <si>
    <t>K100164</t>
  </si>
  <si>
    <t>TABLE SENSOR SDE5-D10-0-Q6-P-M8 527464 0-1mpa "FESTO"</t>
  </si>
  <si>
    <t>BALLUFF-INDUCTIVE PROXIMITY SENSOR BES 516-324-S49-C #BES01AW M8x1-Male, 3-pin</t>
  </si>
  <si>
    <t>PROX SENSOR 6294 BI1.5-EH6.5K-AP6X-V1131 4610740</t>
  </si>
  <si>
    <t>Festo - SOLENOID VALVE CPE10-M1BH-5J-M7 196925</t>
  </si>
  <si>
    <t>PILZ SAFETY SWITCH KIT - PSEN .1P-20/psen1.1-20/8mm/ 1 UNIT #504220</t>
  </si>
  <si>
    <t>Sensor Pressure 450KPA 3M Cable PS1000-R06L</t>
  </si>
  <si>
    <t>INDUCTIVE PROXIMITY SENSOR 872C-D3NE12-D4 RADWELL #RAD01159</t>
  </si>
  <si>
    <t>PUSHBUTTON HEAD HARMONY BLUE FOR OPERATORS SWITCH ZB5 AW363</t>
  </si>
  <si>
    <t>SENSOR ACCELEROMETER VSA001 / 19001 #E16054A</t>
  </si>
  <si>
    <t>INDUCTIVE COUPLER FOR 6294 BIC007J BIC 1I3-P2A50-Q40KFU-EPXO-002-M4CA</t>
  </si>
  <si>
    <t>INDUCTIVE COUPLER REMOTE, TABLE, RECEIVER TRANSMITTER #MM-272335 (BIC0039)</t>
  </si>
  <si>
    <t>INDUCTIVE COUPLER BASE, MACHINE, RECIEVER MM-272336 #RHPE8-8010P-C3-PU-05</t>
  </si>
  <si>
    <t>Heidenhain LC 485 689680-02 Linear Encoder for 6480W-AXIS</t>
  </si>
  <si>
    <t>CONTACTOR A-B 100-C09EJ10 IEC</t>
  </si>
  <si>
    <t>RELAY 750XCXRM4L-120A</t>
  </si>
  <si>
    <t>100-5-1-1-2-1, TRANSMITTER</t>
  </si>
  <si>
    <t>VORNE COMM CABLE ​- DATALOGIC ADC, CABLE, CAB-327, RS232, DB9 RCPT, E/P, STRT, 2M</t>
  </si>
  <si>
    <t>CABLE CLAMP/UNCLAMP 6294 PKG 3M-1-PSG 3M</t>
  </si>
  <si>
    <t>QD CORDSET 5 METER 3 PIN 90 DEG 889P-R3AB-5</t>
  </si>
  <si>
    <t>CONNECTOR CORDSET 2.5M M8 #EVC419</t>
  </si>
  <si>
    <t>DOOR OPEN SAFETY SENSOR SCHMERSAL BNS 180-11Z 101130683</t>
  </si>
  <si>
    <t>1-C</t>
  </si>
  <si>
    <t>K100171</t>
  </si>
  <si>
    <t>K100172</t>
  </si>
  <si>
    <t>K100173</t>
  </si>
  <si>
    <t>K100174</t>
  </si>
  <si>
    <t>K100175</t>
  </si>
  <si>
    <t>K100580</t>
  </si>
  <si>
    <t>K101995</t>
  </si>
  <si>
    <t>K102045</t>
  </si>
  <si>
    <t>K102046</t>
  </si>
  <si>
    <t>K102048</t>
  </si>
  <si>
    <t>K102049</t>
  </si>
  <si>
    <t>K102050</t>
  </si>
  <si>
    <t>K102289</t>
  </si>
  <si>
    <t>K102366</t>
  </si>
  <si>
    <t>K102384</t>
  </si>
  <si>
    <t>K102388</t>
  </si>
  <si>
    <t>K102462</t>
  </si>
  <si>
    <t>K102465</t>
  </si>
  <si>
    <t>K102508</t>
  </si>
  <si>
    <t>K102516</t>
  </si>
  <si>
    <t>K102517</t>
  </si>
  <si>
    <t>K102566</t>
  </si>
  <si>
    <t>K102618</t>
  </si>
  <si>
    <t>K105047</t>
  </si>
  <si>
    <t>K13642</t>
  </si>
  <si>
    <t>K51010</t>
  </si>
  <si>
    <t>K51014</t>
  </si>
  <si>
    <t>K13485</t>
  </si>
  <si>
    <t>K25689</t>
  </si>
  <si>
    <t>K25715</t>
  </si>
  <si>
    <t>K25729</t>
  </si>
  <si>
    <t>K25741</t>
  </si>
  <si>
    <t>K25746</t>
  </si>
  <si>
    <t>K100654</t>
  </si>
  <si>
    <t>K101670</t>
  </si>
  <si>
    <t>K101764</t>
  </si>
  <si>
    <t>K25719</t>
  </si>
  <si>
    <t>K25731</t>
  </si>
  <si>
    <t>MA030-0057</t>
  </si>
  <si>
    <t>K100847</t>
  </si>
  <si>
    <t>K101745</t>
  </si>
  <si>
    <t>K101765</t>
  </si>
  <si>
    <t>K13471</t>
  </si>
  <si>
    <t>K55049</t>
  </si>
  <si>
    <t>K100307</t>
  </si>
  <si>
    <t>K100399</t>
  </si>
  <si>
    <t>K51005</t>
  </si>
  <si>
    <t>K51017</t>
  </si>
  <si>
    <t>K100402</t>
  </si>
  <si>
    <t>K102463</t>
  </si>
  <si>
    <t>K25677</t>
  </si>
  <si>
    <t>K25679</t>
  </si>
  <si>
    <t>K25680</t>
  </si>
  <si>
    <t>K25681</t>
  </si>
  <si>
    <t>K25682</t>
  </si>
  <si>
    <t>K25684</t>
  </si>
  <si>
    <t>K25734</t>
  </si>
  <si>
    <t>MA050-1032</t>
  </si>
  <si>
    <t>K25676</t>
  </si>
  <si>
    <t>KLEIN KURVE LOWER ANVIL 2086A01</t>
  </si>
  <si>
    <t>KLEIN KURVE UPPER ANVIL T06129-BC</t>
  </si>
  <si>
    <t>STANDARD WIRE STRIPPER UPPER ANVIL T06301-BC</t>
  </si>
  <si>
    <t>STANDARD WIRE STRIPPER LOWER ANVIL 2086A05</t>
  </si>
  <si>
    <t>LOWER ANVIL FOR 1009/1019 2086A07</t>
  </si>
  <si>
    <t>EE CONN 12 PIN RIGHT ANGLE A05B-1137-J058 FANUC</t>
  </si>
  <si>
    <t>D2755 UPPER ANVIL #KLEIN-5494</t>
  </si>
  <si>
    <t xml:space="preserve">STYLE #1 TIP STOP FOR WS MICRON </t>
  </si>
  <si>
    <t xml:space="preserve">STYLE #2 TIP STOP FOR WS MICRON </t>
  </si>
  <si>
    <t xml:space="preserve">STYLE #4 TIP STOP FOR WS MICRON </t>
  </si>
  <si>
    <t>STYLE #5 TIP STOP FOR WS MICRON</t>
  </si>
  <si>
    <t>STYLE #6 TIP STOPS FOR WS MICRON</t>
  </si>
  <si>
    <t>TIME DELAY RELAY # 700-HTF12001SU120</t>
  </si>
  <si>
    <t>TURCK INDUCTIVE SENSOR 8MM, FLUSH, PNP-NO, 10-30 VDC #BI8U-Q08-AP6X2</t>
  </si>
  <si>
    <t>FESTO- DGST-6-20-E1A</t>
  </si>
  <si>
    <t>6604k42 Miniature Threaded-Body Air Cylinder, Double Acting, 3/8" Bore Size, 1/2" OD, 1/4" Stroke Le</t>
  </si>
  <si>
    <t>WS UPPER ANVIL SOLID CARBIDE ASSEMBLY CELL #6391</t>
  </si>
  <si>
    <t>MINI SLIDE DGST-6-40-E1A</t>
  </si>
  <si>
    <t>912 &amp; 912D RIVETER JAWS #J-00139</t>
  </si>
  <si>
    <t>6603 Blohm Straight Handle Fixture #25-05161 Tip Stops</t>
  </si>
  <si>
    <t>6603 Blohm Curved Handle Fixture #25-05190 Tip Stops</t>
  </si>
  <si>
    <t>Festo 1254039 2 Jaw Parallel Gripper for 6569 Auto Assy</t>
  </si>
  <si>
    <t>Modified Chicago Rivet Spring Pin A-8283 A ; for 6569 WS Assembly Cell pallet lower anvil</t>
  </si>
  <si>
    <t>STYLE #3 TIP STOP FOR WS MICRON</t>
  </si>
  <si>
    <t>MAGNETIC GRIPPER W/ FRICTION RING #SGM-HP 20 G1/8-IG</t>
  </si>
  <si>
    <t>ROLLER CHAIN, CONNECTING LINK RS40 C/L</t>
  </si>
  <si>
    <t>CHICAGO RIVET &amp; MACHINE A-8283 ANVIL</t>
  </si>
  <si>
    <t>CLUTCH STOP LATCH MD-19</t>
  </si>
  <si>
    <t xml:space="preserve">Threaded Elbow joints Hydraulics </t>
  </si>
  <si>
    <t xml:space="preserve">Push in 90 degrees connector M7 thread to 1 port 6mm tube  </t>
  </si>
  <si>
    <t xml:space="preserve">Hydraulics Fittings JIC6 to NPT </t>
  </si>
  <si>
    <t>RIVETER JAWS  #J-258</t>
  </si>
  <si>
    <t>RIVETER JAWS  #J-61</t>
  </si>
  <si>
    <t>RIVETER JAWS #MD-25</t>
  </si>
  <si>
    <t>RIVETER JAWS #J-345</t>
  </si>
  <si>
    <t>PRESSURE SENSOR SDE5-D2-O-Q6-P-M8, #72071777</t>
  </si>
  <si>
    <t>FESTO - 356759 GAUGE PRESSURE - MA-50-16-1/4</t>
  </si>
  <si>
    <t>BEARING FLA16</t>
  </si>
  <si>
    <t>WS-PE-GAGE-7 GAUGE</t>
  </si>
  <si>
    <t>FREUDENBERG - BAU2X2 30X40X7 SEAL OIL</t>
  </si>
  <si>
    <t>INDUCTIVE PROXIMITY SENSOR BES01CW 553701</t>
  </si>
  <si>
    <t>Thomson FNYBU16</t>
  </si>
  <si>
    <t>Festo SDE1-R18 Material# 393746</t>
  </si>
  <si>
    <t xml:space="preserve">Easton Seal Kit </t>
  </si>
  <si>
    <t>Anti  tie down CTRL 3380</t>
  </si>
  <si>
    <t>Pressure Sensor 100920</t>
  </si>
  <si>
    <t>IFM Efector Flow Monitor MFPN# 515010</t>
  </si>
  <si>
    <t>PFQ801LF Gauge</t>
  </si>
  <si>
    <t xml:space="preserve">O-Rings </t>
  </si>
  <si>
    <t xml:space="preserve">Hallow Shaft </t>
  </si>
  <si>
    <t xml:space="preserve">Ballscrew Adaptor </t>
  </si>
  <si>
    <t xml:space="preserve">60PSI Gauge 1/8NPT </t>
  </si>
  <si>
    <t>WIKAI Gauge P/N# 52568083</t>
  </si>
  <si>
    <t>Labyrinth Seal</t>
  </si>
  <si>
    <t>Sealing ring</t>
  </si>
  <si>
    <t xml:space="preserve">Groved nut </t>
  </si>
  <si>
    <t>Feather Key</t>
  </si>
  <si>
    <t xml:space="preserve">Locking Plate </t>
  </si>
  <si>
    <t>Clamping Set</t>
  </si>
  <si>
    <t xml:space="preserve">Clamping Set for X-Axis </t>
  </si>
  <si>
    <t>Sealing Rinig nut</t>
  </si>
  <si>
    <t>Clamping Sleeve</t>
  </si>
  <si>
    <t>Spacer Sleeve</t>
  </si>
  <si>
    <t xml:space="preserve">Ring Follower </t>
  </si>
  <si>
    <t xml:space="preserve">Metal Bellows Coupler </t>
  </si>
  <si>
    <t>Stellmutter Precision Locknut</t>
  </si>
  <si>
    <t>PRESSURE SWITCH PEV-1/4-B-OD 175250</t>
  </si>
  <si>
    <t>BALL VALVE ONLY 1 76-1-RT-6-Z 6034/6037 GEMINI VALVE</t>
  </si>
  <si>
    <t>PARKER- HA2WXLG2G9000FA - Non Plug-in, 15407-1, Size 18mm (HB) &amp; 26mm (HA)</t>
  </si>
  <si>
    <t>FESTO - PNEU CYLINDER GRINDING DOOR 19182 DSNU-8-100-P-A VG1 #19182</t>
  </si>
  <si>
    <t>PX3229 SWITCH PRESSURE</t>
  </si>
  <si>
    <t>41PP VLV 4WAY 5PORT 2POS</t>
  </si>
  <si>
    <t>PNEUMATIC ACTUATOR VALVE B412D</t>
  </si>
  <si>
    <t>SMC AR25-NO2E-Z-B</t>
  </si>
  <si>
    <t>Festo DZF-40-200-P-A</t>
  </si>
  <si>
    <t>Festo - PNEUMATIC SOLENOID VALVE MFH-5/3B-1/8-B 30485</t>
  </si>
  <si>
    <t>6338 OPERATOR DOOR PNEU CLAMPING &amp; BRAKING ELEMENT LBPS2505AS2-A</t>
  </si>
  <si>
    <t>8122556 Rebuild Kit for 532447 DGC-25-G/GF/KF:FR08 2009 8122556</t>
  </si>
  <si>
    <t>FILTER 3TAZ10 SCHROEDER ELEMENT 7603393</t>
  </si>
  <si>
    <t>R928005837 FILTER</t>
  </si>
  <si>
    <t>Regulators 00546426 (6034-6037)</t>
  </si>
  <si>
    <t>Festo MOFH-3-1/8 Material #7877</t>
  </si>
  <si>
    <t>Banner AT-GM-13A #66089</t>
  </si>
  <si>
    <t>Strainer 24W720</t>
  </si>
  <si>
    <t>Wilkerson F08 Bowl Kit GRP-96-712-1AFE8</t>
  </si>
  <si>
    <t xml:space="preserve">Wilkerson Filter Regulator B08-02-FKG0B </t>
  </si>
  <si>
    <t>THREADED-BODY SWING CLAMP CLR-1891-101-SCD</t>
  </si>
  <si>
    <t>2.5" COOLANT SUPPLY NOZZLE FOR 6034/6037</t>
  </si>
  <si>
    <t>COOLANT NOZZLE MM-333927</t>
  </si>
  <si>
    <t>PUR-01267 GE SOLENOID</t>
  </si>
  <si>
    <t>Rexroth MNR#R162329420</t>
  </si>
  <si>
    <t>Banner STBVP6 #64176</t>
  </si>
  <si>
    <t xml:space="preserve">Pulley W-Axis </t>
  </si>
  <si>
    <t>Pulley W-Axis T5/24</t>
  </si>
  <si>
    <t xml:space="preserve">Pulley X- Axis </t>
  </si>
  <si>
    <t xml:space="preserve">Pulley Dressing tool </t>
  </si>
  <si>
    <t xml:space="preserve">Pulley Y-Axis </t>
  </si>
  <si>
    <t>Ball Locks (49622)</t>
  </si>
  <si>
    <t xml:space="preserve">Coolant Nozzle for dressers </t>
  </si>
  <si>
    <t>BELT, TRULY ENDLESS T5-690-50 X AXIS MM-35010</t>
  </si>
  <si>
    <t>X-AXIS TIMING BELT #450-5M-9</t>
  </si>
  <si>
    <t>BELT, TRULY ENDLESS T5-325-25 DRESSER SPINDLE DRIVE MM-35014</t>
  </si>
  <si>
    <t>BELT, TRULY ENDLESS T5-220-25 NOZZLE ADJUSTMENT</t>
  </si>
  <si>
    <t>BELT, TRULY ENDLESS T5-560-32 Y AXIS</t>
  </si>
  <si>
    <t>BELT, TRULY ENDLESS T5-630-32 Y AXIS</t>
  </si>
  <si>
    <t>BELT, TRULY ENDLESS T5-630-16 DRESSER ASSEMBLY W AXIS MM-35033</t>
  </si>
  <si>
    <t>TIMING BELT T5-330</t>
  </si>
  <si>
    <t>V-BELT 56" X 21/32" X 3/8" 3560</t>
  </si>
  <si>
    <t>TIMING BELT 5608MGT20 OR Y-AXIS</t>
  </si>
  <si>
    <t>Regulator B753FGTW</t>
  </si>
  <si>
    <t xml:space="preserve">M40947A 120x140x13mm Belt </t>
  </si>
  <si>
    <t>GT3-450-5MGT-25 Belt</t>
  </si>
  <si>
    <t>AD050A21T9A1 DIAPHRAM</t>
  </si>
  <si>
    <t xml:space="preserve">Hydraulics Filters </t>
  </si>
  <si>
    <t>RIVETER JAWS #J-441</t>
  </si>
  <si>
    <t>RIVETER JAWS #J-171</t>
  </si>
  <si>
    <t>Chicago Riveter Threaded bolts AH-213</t>
  </si>
  <si>
    <t>2-A</t>
  </si>
  <si>
    <t>2-B</t>
  </si>
  <si>
    <t>2-C</t>
  </si>
  <si>
    <t>2-D</t>
  </si>
  <si>
    <t>2-E</t>
  </si>
  <si>
    <t>2-F</t>
  </si>
  <si>
    <t>2-G</t>
  </si>
  <si>
    <t>TEMP0092</t>
  </si>
  <si>
    <t>TEMP0093</t>
  </si>
  <si>
    <t>TEMP0094</t>
  </si>
  <si>
    <t>TEMP0095</t>
  </si>
  <si>
    <t>TEMP0096</t>
  </si>
  <si>
    <t>TEMP0097</t>
  </si>
  <si>
    <t>TEMP0099</t>
  </si>
  <si>
    <t>TEMP0100</t>
  </si>
  <si>
    <t>TEMP0101</t>
  </si>
  <si>
    <t>TEMP0102</t>
  </si>
  <si>
    <t>TEMP0103</t>
  </si>
  <si>
    <t>TEMP0104</t>
  </si>
  <si>
    <t>TEMP0105</t>
  </si>
  <si>
    <t>TEMP0106</t>
  </si>
  <si>
    <t>TEMP0107</t>
  </si>
  <si>
    <t>TEMP0108</t>
  </si>
  <si>
    <t>TEMP0109</t>
  </si>
  <si>
    <t>TEMP0110</t>
  </si>
  <si>
    <t>TEMP0111</t>
  </si>
  <si>
    <t>TEMP0112</t>
  </si>
  <si>
    <t>TEMP0113</t>
  </si>
  <si>
    <t>TEMP0114</t>
  </si>
  <si>
    <t>TEMP0115</t>
  </si>
  <si>
    <t>TEMP0116</t>
  </si>
  <si>
    <t>TEMP0117</t>
  </si>
  <si>
    <t>TEMP0118</t>
  </si>
  <si>
    <t>TEMP0119</t>
  </si>
  <si>
    <t>K51000</t>
  </si>
  <si>
    <t>MM-0303-8012 SLIDING ( Siccor Plates)</t>
  </si>
  <si>
    <t>Siemens Power Supply for Micron 6294 PLC. Siemens Model# CV5_DC. Siemens Part# A5E30947477</t>
  </si>
  <si>
    <t>4-F</t>
  </si>
  <si>
    <t>TEMP0120</t>
  </si>
  <si>
    <t>TEMP0121</t>
  </si>
  <si>
    <t>TEMP0122</t>
  </si>
  <si>
    <t>TEMP0123</t>
  </si>
  <si>
    <t>TEMP0124</t>
  </si>
  <si>
    <t>TEMP0125</t>
  </si>
  <si>
    <t>TEMP0126</t>
  </si>
  <si>
    <t>TEMP0127</t>
  </si>
  <si>
    <t>TEMP0128</t>
  </si>
  <si>
    <t>TEMP0129</t>
  </si>
  <si>
    <t>TEMP0130</t>
  </si>
  <si>
    <t>TEMP0131</t>
  </si>
  <si>
    <t>TEMP0132</t>
  </si>
  <si>
    <t>TEMP0133</t>
  </si>
  <si>
    <t>TEMP0134</t>
  </si>
  <si>
    <t>TEMP0135</t>
  </si>
  <si>
    <t>TEMP0136</t>
  </si>
  <si>
    <t>K102669</t>
  </si>
  <si>
    <t>K102663</t>
  </si>
  <si>
    <t>K102640</t>
  </si>
  <si>
    <t>K102664</t>
  </si>
  <si>
    <t>K102639</t>
  </si>
  <si>
    <t>6603 Blohm operator door pneumatic cylinder-double , ø32 Hu810mm</t>
  </si>
  <si>
    <t>OPERATOR DOOR FOOT MOUNTING HNC-32 #92111692</t>
  </si>
  <si>
    <t>Siemens Safety Limit Switch with Plunger ; 6603 Blohm Operator Door Switch</t>
  </si>
  <si>
    <t>Operator Door Linear Bearing #30090046</t>
  </si>
  <si>
    <t>6603 Blohm Coolant Pump ; Brinkmann STH1412S660+001</t>
  </si>
  <si>
    <t>Blohm</t>
  </si>
  <si>
    <t>Siemens</t>
  </si>
  <si>
    <t>Layke Tool</t>
  </si>
  <si>
    <t>United Grinding NA</t>
  </si>
  <si>
    <t>RS Americas INC</t>
  </si>
  <si>
    <t>Brinkmann Pumps INC</t>
  </si>
  <si>
    <t>225-05161</t>
  </si>
  <si>
    <t>25-05190</t>
  </si>
  <si>
    <t>3SE5112-0CC02</t>
  </si>
  <si>
    <t>STH1412S660+0001</t>
  </si>
  <si>
    <t>Turck</t>
  </si>
  <si>
    <t>Weidmuller</t>
  </si>
  <si>
    <t>Phoenix Contact</t>
  </si>
  <si>
    <t>Heidenhain</t>
  </si>
  <si>
    <t>Parker</t>
  </si>
  <si>
    <t>Roemheld</t>
  </si>
  <si>
    <t>DSK Enterprises</t>
  </si>
  <si>
    <t>Design and Assembly Concepts</t>
  </si>
  <si>
    <t>Schunk</t>
  </si>
  <si>
    <t>Chicago Rivet</t>
  </si>
  <si>
    <t>festo</t>
  </si>
  <si>
    <t>Thomson Linear</t>
  </si>
  <si>
    <t>Banner Controls</t>
  </si>
  <si>
    <t>Bosch Rexroth</t>
  </si>
  <si>
    <t>Rochester Abrasives</t>
  </si>
  <si>
    <t>SKF</t>
  </si>
  <si>
    <t>FAG</t>
  </si>
  <si>
    <t>IBC</t>
  </si>
  <si>
    <t>Schneeberger</t>
  </si>
  <si>
    <t>TEMP0005</t>
  </si>
  <si>
    <t>K100346</t>
  </si>
  <si>
    <t>Date/Time</t>
  </si>
  <si>
    <t>Previous Qty</t>
  </si>
  <si>
    <t>Counted Qty</t>
  </si>
  <si>
    <t>Variance</t>
  </si>
  <si>
    <t>K102461</t>
  </si>
  <si>
    <t>TEMP0098</t>
  </si>
  <si>
    <t>Trevor Donovan</t>
  </si>
  <si>
    <t>Enier Leyva</t>
  </si>
  <si>
    <t>Maria Tinajero</t>
  </si>
  <si>
    <t>Tom Vest</t>
  </si>
  <si>
    <t>Lisa Hanchey</t>
  </si>
  <si>
    <t>Badge ID</t>
  </si>
  <si>
    <t>Employee Name</t>
  </si>
  <si>
    <t>Reese McCord</t>
  </si>
  <si>
    <t>ADD</t>
  </si>
  <si>
    <t>1. If "Launch Inventory Scanner" button does not work, close workbook and reopen. Click "Enable Content".
2. Click "LAUNCH INVENTORY SCANNER" to launch the Inventory Scanner User Interface
3. Use barcode scanner to scan part tag. The item information will automatically populate
4. Select "ADD" or "REMOVE" from dropdown menu. 
5. Enter quantity being added or removed.
6. Click "Submit". On hand quantity will automatically update. 
7. Click "Low Stock List" to generate populated "ReorderReport" tab. 
8. Click "Add New Part" to enter newly stock POU item</t>
  </si>
  <si>
    <t>Follow These Instructions</t>
  </si>
  <si>
    <t xml:space="preserve">  </t>
  </si>
  <si>
    <t>Alfredo Salih</t>
  </si>
  <si>
    <t>TEMP0137</t>
  </si>
  <si>
    <t>Fibro Seal Kit</t>
  </si>
  <si>
    <t>4-165-973-0120 D</t>
  </si>
  <si>
    <t>Fibro</t>
  </si>
  <si>
    <t>TEMP0138</t>
  </si>
  <si>
    <t>Fibro Bearing Kit</t>
  </si>
  <si>
    <t>Fibro Worm and Wheel</t>
  </si>
  <si>
    <t>Fibro Center Shaft</t>
  </si>
  <si>
    <t>Fibro Piston</t>
  </si>
  <si>
    <t>Fibro Pins</t>
  </si>
  <si>
    <t>N-A</t>
  </si>
  <si>
    <t>TEMP0139</t>
  </si>
  <si>
    <t>TEMP0140</t>
  </si>
  <si>
    <t>TEMP0141</t>
  </si>
  <si>
    <t>TEMP0142</t>
  </si>
  <si>
    <t>4-165-973-0120 L</t>
  </si>
  <si>
    <t>4-165-453-5006</t>
  </si>
  <si>
    <t>3-165-423-0098</t>
  </si>
  <si>
    <t>4-135-592-0001</t>
  </si>
  <si>
    <t>Notes</t>
  </si>
  <si>
    <t>Guzman entered purchase req but was rejected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</si>
</sst>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17" x14ac:knownFonts="1">
    <font>
      <sz val="11"/>
      <color theme="1"/>
      <name val="Calibri"/>
      <family val="2"/>
      <scheme val="minor"/>
    </font>
    <font>
      <b/>
      <sz val="11"/>
      <color theme="1"/>
      <name val="Calibri"/>
      <family val="2"/>
      <scheme val="minor"/>
    </font>
    <font>
      <sz val="11"/>
      <color theme="1"/>
      <name val="Libre Barcode 39"/>
    </font>
    <font>
      <sz val="11"/>
      <name val="Calibri"/>
      <family val="2"/>
      <scheme val="minor"/>
    </font>
    <font>
      <sz val="10"/>
      <name val="Segoe UI"/>
      <family val="2"/>
    </font>
    <font>
      <sz val="10"/>
      <name val="Calibri"/>
      <family val="2"/>
      <scheme val="minor"/>
    </font>
    <font>
      <sz val="11"/>
      <color rgb="FF000000"/>
      <name val="Calibri"/>
      <family val="2"/>
    </font>
    <font>
      <b/>
      <sz val="11"/>
      <color theme="0"/>
      <name val="Calibri"/>
      <family val="2"/>
    </font>
    <font>
      <b/>
      <sz val="18"/>
      <color theme="1"/>
      <name val="Calibri"/>
      <family val="2"/>
      <scheme val="minor"/>
    </font>
    <font>
      <sz val="11"/>
      <color theme="1"/>
      <name val="Calibri"/>
      <family val="2"/>
      <scheme val="minor"/>
    </font>
    <font>
      <b/>
      <sz val="11"/>
      <color theme="0"/>
      <name val="Calibri"/>
      <family val="2"/>
    </font>
    <font>
      <sz val="8"/>
      <name val="Calibri"/>
      <family val="2"/>
      <scheme val="minor"/>
    </font>
    <font>
      <sz val="36"/>
      <color theme="1"/>
      <name val="Libre Barcode 39"/>
    </font>
    <font>
      <sz val="10"/>
      <color rgb="FF333333"/>
      <name val="Segoe UI"/>
      <family val="2"/>
    </font>
    <font>
      <sz val="11"/>
      <color rgb="FF333333"/>
      <name val="Segoe UI"/>
      <family val="2"/>
    </font>
    <font>
      <b/>
      <sz val="22"/>
      <color rgb="FFFF6600"/>
      <name val="Calibri"/>
      <family val="2"/>
    </font>
    <font>
      <sz val="11"/>
      <color theme="0"/>
      <name val="Calibri"/>
      <family val="2"/>
      <scheme val="minor"/>
    </font>
  </fonts>
  <fills count="7">
    <fill>
      <patternFill patternType="none"/>
    </fill>
    <fill>
      <patternFill patternType="gray125"/>
    </fill>
    <fill>
      <patternFill patternType="solid">
        <fgColor rgb="FFC8C8C8"/>
        <bgColor indexed="64"/>
      </patternFill>
    </fill>
    <fill>
      <patternFill patternType="solid">
        <fgColor rgb="FFFFFF00"/>
        <bgColor indexed="64"/>
      </patternFill>
    </fill>
    <fill>
      <patternFill patternType="solid">
        <fgColor theme="1"/>
        <bgColor indexed="64"/>
      </patternFill>
    </fill>
    <fill>
      <patternFill patternType="solid">
        <fgColor theme="9"/>
        <bgColor indexed="64"/>
      </patternFill>
    </fill>
    <fill>
      <patternFill patternType="solid">
        <fgColor rgb="FF92D050"/>
        <bgColor indexed="64"/>
      </patternFill>
    </fill>
  </fills>
  <borders count="10">
    <border>
      <left/>
      <right/>
      <top/>
      <bottom/>
      <diagonal/>
    </border>
    <border>
      <left/>
      <right/>
      <top/>
      <bottom style="thin">
        <color theme="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2">
    <xf numFmtId="0" fontId="0" fillId="0" borderId="0"/>
    <xf numFmtId="44" fontId="9" fillId="0" borderId="0" applyFont="0" applyFill="0" applyBorder="0" applyAlignment="0" applyProtection="0"/>
  </cellStyleXfs>
  <cellXfs count="48">
    <xf numFmtId="0" fontId="0" fillId="0" borderId="0" xfId="0"/>
    <xf numFmtId="0" fontId="2" fillId="0" borderId="0" xfId="0" applyFont="1"/>
    <xf numFmtId="0" fontId="3" fillId="0" borderId="0" xfId="0" applyFont="1" applyAlignment="1">
      <alignment horizontal="center" vertical="center"/>
    </xf>
    <xf numFmtId="0" fontId="3" fillId="0" borderId="0" xfId="0" applyFont="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0" fillId="0" borderId="0" xfId="0" applyAlignment="1">
      <alignment horizontal="center" vertical="center" wrapText="1"/>
    </xf>
    <xf numFmtId="0" fontId="0" fillId="0" borderId="1" xfId="0" applyBorder="1" applyAlignment="1">
      <alignment horizontal="center" vertical="center" wrapText="1"/>
    </xf>
    <xf numFmtId="22" fontId="0" fillId="0" borderId="0" xfId="0" applyNumberFormat="1"/>
    <xf numFmtId="0" fontId="1" fillId="2" borderId="0" xfId="0" applyFont="1" applyFill="1"/>
    <xf numFmtId="0" fontId="7" fillId="0" borderId="0" xfId="0" applyFont="1" applyAlignment="1">
      <alignment horizontal="center" vertical="center"/>
    </xf>
    <xf numFmtId="0" fontId="3" fillId="3" borderId="0" xfId="0" applyFont="1" applyFill="1" applyAlignment="1">
      <alignment horizontal="center" vertical="center" wrapText="1"/>
    </xf>
    <xf numFmtId="0" fontId="3" fillId="3" borderId="0" xfId="0" applyFont="1" applyFill="1" applyAlignment="1">
      <alignment horizontal="center" vertical="center"/>
    </xf>
    <xf numFmtId="0" fontId="0" fillId="3" borderId="0" xfId="0" applyFill="1" applyAlignment="1">
      <alignment horizontal="center" vertical="center"/>
    </xf>
    <xf numFmtId="0" fontId="0" fillId="3" borderId="1" xfId="0" applyFill="1" applyBorder="1" applyAlignment="1">
      <alignment horizontal="center" vertical="center"/>
    </xf>
    <xf numFmtId="0" fontId="0" fillId="0" borderId="0" xfId="0" applyAlignment="1">
      <alignment wrapText="1"/>
    </xf>
    <xf numFmtId="0" fontId="0" fillId="4" borderId="0" xfId="0" applyFill="1"/>
    <xf numFmtId="0" fontId="1" fillId="0" borderId="0" xfId="0" applyFont="1" applyAlignment="1">
      <alignment vertical="center" wrapText="1"/>
    </xf>
    <xf numFmtId="0" fontId="10" fillId="0" borderId="0" xfId="0" applyFont="1" applyAlignment="1">
      <alignment horizontal="center" vertical="center"/>
    </xf>
    <xf numFmtId="44" fontId="0" fillId="0" borderId="0" xfId="1" applyFont="1" applyAlignment="1">
      <alignment horizontal="center" vertical="center"/>
    </xf>
    <xf numFmtId="44" fontId="0" fillId="0" borderId="0" xfId="1" applyFont="1"/>
    <xf numFmtId="0" fontId="0" fillId="5" borderId="0" xfId="0" applyFill="1"/>
    <xf numFmtId="0" fontId="12" fillId="0" borderId="0" xfId="0" applyFont="1" applyAlignment="1">
      <alignment horizontal="center" vertical="center"/>
    </xf>
    <xf numFmtId="0" fontId="13" fillId="0" borderId="0" xfId="0" applyFont="1" applyAlignment="1">
      <alignment horizontal="left" vertical="center" wrapText="1"/>
    </xf>
    <xf numFmtId="0" fontId="0" fillId="0" borderId="0" xfId="0" applyAlignment="1">
      <alignment horizontal="left" vertical="center" wrapText="1"/>
    </xf>
    <xf numFmtId="0" fontId="14" fillId="0" borderId="0" xfId="0" applyFont="1" applyAlignment="1">
      <alignment horizontal="center" vertical="center"/>
    </xf>
    <xf numFmtId="0" fontId="14" fillId="0" borderId="0" xfId="0" applyFont="1" applyAlignment="1">
      <alignment horizontal="center" vertical="center" wrapText="1"/>
    </xf>
    <xf numFmtId="0" fontId="14" fillId="0" borderId="0" xfId="0" applyFont="1" applyAlignment="1">
      <alignment horizontal="left" vertical="center" wrapText="1"/>
    </xf>
    <xf numFmtId="0" fontId="3" fillId="6" borderId="0" xfId="0" applyFont="1" applyFill="1" applyAlignment="1">
      <alignment horizontal="center" vertical="center"/>
    </xf>
    <xf numFmtId="0" fontId="3" fillId="6" borderId="0" xfId="0" applyFont="1" applyFill="1" applyAlignment="1">
      <alignment horizontal="center" vertical="center" wrapText="1"/>
    </xf>
    <xf numFmtId="0" fontId="0" fillId="6" borderId="0" xfId="0" applyFill="1" applyAlignment="1">
      <alignment horizontal="center" vertical="center"/>
    </xf>
    <xf numFmtId="0" fontId="0" fillId="6" borderId="0" xfId="0" applyFill="1" applyAlignment="1">
      <alignment horizontal="center" vertical="center" wrapText="1"/>
    </xf>
    <xf numFmtId="0" fontId="7" fillId="4" borderId="0" xfId="0" applyFont="1" applyFill="1"/>
    <xf numFmtId="0" fontId="16" fillId="4" borderId="0" xfId="0" applyFont="1" applyFill="1" applyAlignment="1">
      <alignment horizontal="left" wrapText="1"/>
    </xf>
    <xf numFmtId="0" fontId="1" fillId="0" borderId="5" xfId="0" applyFont="1" applyBorder="1" applyAlignment="1">
      <alignment horizontal="left" vertical="center" wrapText="1"/>
    </xf>
    <xf numFmtId="0" fontId="1" fillId="0" borderId="0" xfId="0" applyFont="1" applyAlignment="1">
      <alignment horizontal="left" vertical="center" wrapText="1"/>
    </xf>
    <xf numFmtId="0" fontId="1" fillId="0" borderId="6" xfId="0" applyFont="1" applyBorder="1" applyAlignment="1">
      <alignment horizontal="left" vertical="center" wrapText="1"/>
    </xf>
    <xf numFmtId="0" fontId="1" fillId="0" borderId="7" xfId="0" applyFont="1" applyBorder="1" applyAlignment="1">
      <alignment horizontal="left" vertical="center" wrapText="1"/>
    </xf>
    <xf numFmtId="0" fontId="1" fillId="0" borderId="8" xfId="0" applyFont="1" applyBorder="1" applyAlignment="1">
      <alignment horizontal="left" vertical="center" wrapText="1"/>
    </xf>
    <xf numFmtId="0" fontId="1" fillId="0" borderId="9" xfId="0" applyFont="1" applyBorder="1" applyAlignment="1">
      <alignment horizontal="left" vertical="center" wrapText="1"/>
    </xf>
    <xf numFmtId="0" fontId="8" fillId="3" borderId="2" xfId="0" applyFont="1" applyFill="1" applyBorder="1" applyAlignment="1">
      <alignment horizontal="center" vertical="center" wrapText="1"/>
    </xf>
    <xf numFmtId="0" fontId="8" fillId="3" borderId="3"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5" xfId="0" applyFont="1" applyFill="1" applyBorder="1" applyAlignment="1">
      <alignment horizontal="center" vertical="center" wrapText="1"/>
    </xf>
    <xf numFmtId="0" fontId="8" fillId="3" borderId="0" xfId="0" applyFont="1" applyFill="1" applyAlignment="1">
      <alignment horizontal="center" vertical="center" wrapText="1"/>
    </xf>
    <xf numFmtId="0" fontId="8" fillId="3" borderId="6" xfId="0" applyFont="1" applyFill="1" applyBorder="1" applyAlignment="1">
      <alignment horizontal="center" vertical="center" wrapText="1"/>
    </xf>
  </cellXfs>
  <cellStyles count="2">
    <cellStyle name="Currency" xfId="1" builtinId="4"/>
    <cellStyle name="Normal" xfId="0" builtinId="0"/>
  </cellStyles>
  <dxfs count="17">
    <dxf>
      <fill>
        <patternFill>
          <bgColor rgb="FFFFE696"/>
        </patternFill>
      </fill>
    </dxf>
    <dxf>
      <fill>
        <patternFill>
          <bgColor rgb="FFFF9696"/>
        </patternFill>
      </fil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left" vertical="center" textRotation="0" wrapText="1" indent="0" justifyLastLine="0" shrinkToFit="0" readingOrder="0"/>
    </dxf>
    <dxf>
      <font>
        <b val="0"/>
        <i val="0"/>
        <strike val="0"/>
        <condense val="0"/>
        <extend val="0"/>
        <outline val="0"/>
        <shadow val="0"/>
        <u val="none"/>
        <vertAlign val="baseline"/>
        <sz val="36"/>
        <color theme="1"/>
        <name val="Libre Barcode 39"/>
        <scheme val="none"/>
      </font>
      <numFmt numFmtId="0" formatCode="General"/>
      <alignment horizontal="center" vertical="center" textRotation="0" wrapText="0" indent="0" justifyLastLine="0" shrinkToFit="0" readingOrder="0"/>
    </dxf>
    <dxf>
      <fill>
        <patternFill patternType="solid">
          <fgColor indexed="64"/>
          <bgColor rgb="FFFFFF00"/>
        </patternFill>
      </fill>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1"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0"/>
        <name val="Calibri"/>
        <scheme val="none"/>
      </font>
      <fill>
        <patternFill patternType="none">
          <fgColor indexed="64"/>
          <bgColor auto="1"/>
        </patternFill>
      </fill>
      <alignment horizontal="center" vertical="center" textRotation="0" wrapText="0"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200025</xdr:colOff>
          <xdr:row>4</xdr:row>
          <xdr:rowOff>142875</xdr:rowOff>
        </xdr:from>
        <xdr:to>
          <xdr:col>14</xdr:col>
          <xdr:colOff>438150</xdr:colOff>
          <xdr:row>13</xdr:row>
          <xdr:rowOff>76200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2200" b="1" i="0" u="none" strike="noStrike" baseline="0">
                  <a:solidFill>
                    <a:srgbClr val="FF6600"/>
                  </a:solidFill>
                  <a:latin typeface="Calibri"/>
                  <a:ea typeface="Calibri"/>
                  <a:cs typeface="Calibri"/>
                </a:rPr>
                <a:t>LAUNCH INVENTORY SCANNER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485775</xdr:colOff>
          <xdr:row>8</xdr:row>
          <xdr:rowOff>123825</xdr:rowOff>
        </xdr:from>
        <xdr:to>
          <xdr:col>3</xdr:col>
          <xdr:colOff>581025</xdr:colOff>
          <xdr:row>13</xdr:row>
          <xdr:rowOff>142875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9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OPEN INVENTORY SCANNER</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8</v>
    <v>0</v>
    <v>3</v>
  </rv>
</rvData>
</file>

<file path=xl/richData/rdrichvaluestructure.xml><?xml version="1.0" encoding="utf-8"?>
<rvStructures xmlns="http://schemas.microsoft.com/office/spreadsheetml/2017/richdata" count="1">
  <s t="_error">
    <k n="colOffset" t="i"/>
    <k n="errorType" t="i"/>
    <k n="rwOffset"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8918135-0550-4766-A186-20019AB7FCE4}" name="Table1" displayName="Table1" ref="A1:N255" totalsRowShown="0" headerRowDxfId="16" dataDxfId="15">
  <autoFilter ref="A1:N255" xr:uid="{E8918135-0550-4766-A186-20019AB7FCE4}"/>
  <sortState xmlns:xlrd2="http://schemas.microsoft.com/office/spreadsheetml/2017/richdata2" ref="A2:N249">
    <sortCondition ref="C1:C249"/>
  </sortState>
  <tableColumns count="14">
    <tableColumn id="1" xr3:uid="{227ECAF9-1323-4C04-A507-E74ACE1C364F}" name="Item ID" dataDxfId="14"/>
    <tableColumn id="2" xr3:uid="{716386C5-E866-4F39-94BE-8F8BDD231D59}" name="Item Name" dataDxfId="13"/>
    <tableColumn id="3" xr3:uid="{1D19C760-3638-4373-9B7C-689FFA435DEC}" name="Location" dataDxfId="12"/>
    <tableColumn id="5" xr3:uid="{78E02857-A6DB-4339-8370-DB74B287B7D9}" name="Min Qty" dataDxfId="11"/>
    <tableColumn id="4" xr3:uid="{4210826D-725C-4BAD-AB50-1A1DE419795C}" name="Max Qty" dataDxfId="10"/>
    <tableColumn id="6" xr3:uid="{C034188A-CC6F-47CD-9635-A9FE88ABDA35}" name="On Hand Qty" dataDxfId="9"/>
    <tableColumn id="7" xr3:uid="{E36508FE-5702-437D-AB66-AA7B10A35B18}" name="Barcode" dataDxfId="8">
      <calculatedColumnFormula>"*"&amp;A2&amp;"*"</calculatedColumnFormula>
    </tableColumn>
    <tableColumn id="8" xr3:uid="{BDEDD9C4-0082-4874-9F1A-44C38D673772}" name="Area:"/>
    <tableColumn id="13" xr3:uid="{5411679B-8352-4117-9B09-8416E8EE988D}" name="Description" dataDxfId="7"/>
    <tableColumn id="9" xr3:uid="{09A1AA43-4E62-495D-A925-97AF63147975}" name="Manufacturer" dataDxfId="6"/>
    <tableColumn id="14" xr3:uid="{95211A26-B190-4808-918C-89E8234842EE}" name="Notes" dataDxfId="5"/>
    <tableColumn id="10" xr3:uid="{76E19E9E-CCA4-4853-92AE-1C2A12D0AED0}" name="Priority" dataDxfId="4"/>
    <tableColumn id="11" xr3:uid="{3C025621-2581-47BA-B1E8-C69BA8A3B802}" name="Lead Time" dataDxfId="3"/>
    <tableColumn id="12" xr3:uid="{6976DA8F-7D6C-40BE-B47C-97011783F226}" name="Cost per Unit" dataDxfId="2" dataCellStyle="Currency"/>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4AC9F-C56B-4D9D-BEEF-0793D361235E}">
  <sheetPr codeName="Sheet5">
    <tabColor theme="3" tint="0.39997558519241921"/>
  </sheetPr>
  <dimension ref="B1:O28"/>
  <sheetViews>
    <sheetView tabSelected="1" zoomScaleNormal="100" workbookViewId="0">
      <selection activeCell="T30" sqref="T30"/>
    </sheetView>
  </sheetViews>
  <sheetFormatPr defaultRowHeight="15" x14ac:dyDescent="0.25"/>
  <cols>
    <col min="1" max="1" width="1.42578125" customWidth="1"/>
    <col min="2" max="2" width="9.140625" style="17" customWidth="1"/>
  </cols>
  <sheetData>
    <row r="1" spans="2:15" ht="7.5" customHeight="1" thickBot="1" x14ac:dyDescent="0.3"/>
    <row r="2" spans="2:15" ht="15" customHeight="1" x14ac:dyDescent="0.25">
      <c r="B2" s="42" t="s">
        <v>595</v>
      </c>
      <c r="C2" s="43"/>
      <c r="D2" s="43"/>
      <c r="E2" s="43"/>
      <c r="F2" s="43"/>
      <c r="G2" s="44"/>
    </row>
    <row r="3" spans="2:15" ht="15" customHeight="1" x14ac:dyDescent="0.25">
      <c r="B3" s="45"/>
      <c r="C3" s="46"/>
      <c r="D3" s="46"/>
      <c r="E3" s="46"/>
      <c r="F3" s="46"/>
      <c r="G3" s="47"/>
    </row>
    <row r="4" spans="2:15" ht="15" customHeight="1" x14ac:dyDescent="0.25">
      <c r="B4" s="36" t="s">
        <v>594</v>
      </c>
      <c r="C4" s="37"/>
      <c r="D4" s="37"/>
      <c r="E4" s="37"/>
      <c r="F4" s="37"/>
      <c r="G4" s="38"/>
    </row>
    <row r="5" spans="2:15" x14ac:dyDescent="0.25">
      <c r="B5" s="36"/>
      <c r="C5" s="37"/>
      <c r="D5" s="37"/>
      <c r="E5" s="37"/>
      <c r="F5" s="37"/>
      <c r="G5" s="38"/>
      <c r="I5" s="18"/>
      <c r="J5" s="18"/>
      <c r="K5" s="18"/>
      <c r="L5" s="18"/>
      <c r="M5" s="18"/>
      <c r="N5" s="18"/>
      <c r="O5" s="18"/>
    </row>
    <row r="6" spans="2:15" x14ac:dyDescent="0.25">
      <c r="B6" s="36"/>
      <c r="C6" s="37"/>
      <c r="D6" s="37"/>
      <c r="E6" s="37"/>
      <c r="F6" s="37"/>
      <c r="G6" s="38"/>
      <c r="I6" s="18"/>
      <c r="J6" s="18"/>
      <c r="K6" s="18"/>
      <c r="L6" s="18"/>
      <c r="M6" s="18"/>
      <c r="N6" s="18"/>
      <c r="O6" s="18"/>
    </row>
    <row r="7" spans="2:15" x14ac:dyDescent="0.25">
      <c r="B7" s="36"/>
      <c r="C7" s="37"/>
      <c r="D7" s="37"/>
      <c r="E7" s="37"/>
      <c r="F7" s="37"/>
      <c r="G7" s="38"/>
      <c r="I7" s="18"/>
      <c r="J7" s="18"/>
      <c r="K7" s="18"/>
      <c r="L7" s="18"/>
      <c r="M7" s="18"/>
      <c r="N7" s="18"/>
      <c r="O7" s="18"/>
    </row>
    <row r="8" spans="2:15" x14ac:dyDescent="0.25">
      <c r="B8" s="36"/>
      <c r="C8" s="37"/>
      <c r="D8" s="37"/>
      <c r="E8" s="37"/>
      <c r="F8" s="37"/>
      <c r="G8" s="38"/>
      <c r="I8" s="18"/>
      <c r="J8" s="18"/>
      <c r="K8" s="18"/>
      <c r="L8" s="18"/>
      <c r="M8" s="18"/>
      <c r="N8" s="18"/>
      <c r="O8" s="18"/>
    </row>
    <row r="9" spans="2:15" x14ac:dyDescent="0.25">
      <c r="B9" s="36"/>
      <c r="C9" s="37"/>
      <c r="D9" s="37"/>
      <c r="E9" s="37"/>
      <c r="F9" s="37"/>
      <c r="G9" s="38"/>
      <c r="I9" s="18"/>
      <c r="J9" s="18"/>
      <c r="K9" s="18"/>
      <c r="L9" s="18"/>
      <c r="M9" s="18"/>
      <c r="N9" s="18"/>
      <c r="O9" s="18"/>
    </row>
    <row r="10" spans="2:15" x14ac:dyDescent="0.25">
      <c r="B10" s="36"/>
      <c r="C10" s="37"/>
      <c r="D10" s="37"/>
      <c r="E10" s="37"/>
      <c r="F10" s="37"/>
      <c r="G10" s="38"/>
      <c r="I10" s="18"/>
      <c r="J10" s="18"/>
      <c r="K10" s="18"/>
      <c r="L10" s="18"/>
      <c r="M10" s="18"/>
      <c r="N10" s="18"/>
      <c r="O10" s="18"/>
    </row>
    <row r="11" spans="2:15" x14ac:dyDescent="0.25">
      <c r="B11" s="36"/>
      <c r="C11" s="37"/>
      <c r="D11" s="37"/>
      <c r="E11" s="37"/>
      <c r="F11" s="37"/>
      <c r="G11" s="38"/>
      <c r="I11" s="18"/>
      <c r="J11" s="18"/>
      <c r="K11" s="18"/>
      <c r="L11" s="18"/>
      <c r="M11" s="18"/>
      <c r="N11" s="18"/>
      <c r="O11" s="18"/>
    </row>
    <row r="12" spans="2:15" x14ac:dyDescent="0.25">
      <c r="B12" s="36"/>
      <c r="C12" s="37"/>
      <c r="D12" s="37"/>
      <c r="E12" s="37"/>
      <c r="F12" s="37"/>
      <c r="G12" s="38"/>
      <c r="I12" s="18"/>
      <c r="J12" s="18"/>
      <c r="K12" s="18"/>
      <c r="L12" s="18"/>
      <c r="M12" s="18"/>
      <c r="N12" s="18"/>
      <c r="O12" s="18"/>
    </row>
    <row r="13" spans="2:15" x14ac:dyDescent="0.25">
      <c r="B13" s="36"/>
      <c r="C13" s="37"/>
      <c r="D13" s="37"/>
      <c r="E13" s="37"/>
      <c r="F13" s="37"/>
      <c r="G13" s="38"/>
      <c r="I13" s="18"/>
      <c r="J13" s="18"/>
      <c r="K13" s="18"/>
      <c r="L13" s="18"/>
      <c r="M13" s="18"/>
      <c r="N13" s="18"/>
      <c r="O13" s="18"/>
    </row>
    <row r="14" spans="2:15" x14ac:dyDescent="0.25">
      <c r="B14" s="36"/>
      <c r="C14" s="37"/>
      <c r="D14" s="37"/>
      <c r="E14" s="37"/>
      <c r="F14" s="37"/>
      <c r="G14" s="38"/>
      <c r="I14" s="18"/>
      <c r="J14" s="18"/>
      <c r="K14" s="18"/>
      <c r="L14" s="18"/>
      <c r="M14" s="18"/>
      <c r="N14" s="18"/>
      <c r="O14" s="18"/>
    </row>
    <row r="15" spans="2:15" x14ac:dyDescent="0.25">
      <c r="B15" s="36"/>
      <c r="C15" s="37"/>
      <c r="D15" s="37"/>
      <c r="E15" s="37"/>
      <c r="F15" s="37"/>
      <c r="G15" s="38"/>
    </row>
    <row r="16" spans="2:15" x14ac:dyDescent="0.25">
      <c r="B16" s="36"/>
      <c r="C16" s="37"/>
      <c r="D16" s="37"/>
      <c r="E16" s="37"/>
      <c r="F16" s="37"/>
      <c r="G16" s="38"/>
    </row>
    <row r="17" spans="2:7" x14ac:dyDescent="0.25">
      <c r="B17" s="36"/>
      <c r="C17" s="37"/>
      <c r="D17" s="37"/>
      <c r="E17" s="37"/>
      <c r="F17" s="37"/>
      <c r="G17" s="38"/>
    </row>
    <row r="18" spans="2:7" x14ac:dyDescent="0.25">
      <c r="B18" s="36"/>
      <c r="C18" s="37"/>
      <c r="D18" s="37"/>
      <c r="E18" s="37"/>
      <c r="F18" s="37"/>
      <c r="G18" s="38"/>
    </row>
    <row r="19" spans="2:7" x14ac:dyDescent="0.25">
      <c r="B19" s="36"/>
      <c r="C19" s="37"/>
      <c r="D19" s="37"/>
      <c r="E19" s="37"/>
      <c r="F19" s="37"/>
      <c r="G19" s="38"/>
    </row>
    <row r="20" spans="2:7" x14ac:dyDescent="0.25">
      <c r="B20" s="36"/>
      <c r="C20" s="37"/>
      <c r="D20" s="37"/>
      <c r="E20" s="37"/>
      <c r="F20" s="37"/>
      <c r="G20" s="38"/>
    </row>
    <row r="21" spans="2:7" x14ac:dyDescent="0.25">
      <c r="B21" s="36"/>
      <c r="C21" s="37"/>
      <c r="D21" s="37"/>
      <c r="E21" s="37"/>
      <c r="F21" s="37"/>
      <c r="G21" s="38"/>
    </row>
    <row r="22" spans="2:7" x14ac:dyDescent="0.25">
      <c r="B22" s="36"/>
      <c r="C22" s="37"/>
      <c r="D22" s="37"/>
      <c r="E22" s="37"/>
      <c r="F22" s="37"/>
      <c r="G22" s="38"/>
    </row>
    <row r="23" spans="2:7" x14ac:dyDescent="0.25">
      <c r="B23" s="36"/>
      <c r="C23" s="37"/>
      <c r="D23" s="37"/>
      <c r="E23" s="37"/>
      <c r="F23" s="37"/>
      <c r="G23" s="38"/>
    </row>
    <row r="24" spans="2:7" ht="15.75" thickBot="1" x14ac:dyDescent="0.3">
      <c r="B24" s="39"/>
      <c r="C24" s="40"/>
      <c r="D24" s="40"/>
      <c r="E24" s="40"/>
      <c r="F24" s="40"/>
      <c r="G24" s="41"/>
    </row>
    <row r="25" spans="2:7" x14ac:dyDescent="0.25">
      <c r="B25" s="19"/>
      <c r="C25" s="19"/>
      <c r="D25" s="19"/>
      <c r="E25" s="19"/>
      <c r="F25" s="19"/>
      <c r="G25" s="19"/>
    </row>
    <row r="26" spans="2:7" x14ac:dyDescent="0.25">
      <c r="B26" s="19"/>
      <c r="C26" s="19"/>
      <c r="D26" s="19"/>
      <c r="E26" s="19"/>
      <c r="F26" s="19"/>
      <c r="G26" s="19"/>
    </row>
    <row r="27" spans="2:7" x14ac:dyDescent="0.25">
      <c r="B27" s="19"/>
      <c r="C27" s="19"/>
      <c r="D27" s="19"/>
      <c r="E27" s="19"/>
      <c r="F27" s="19"/>
      <c r="G27" s="19"/>
    </row>
    <row r="28" spans="2:7" x14ac:dyDescent="0.25">
      <c r="B28" s="19"/>
      <c r="C28" s="19"/>
      <c r="D28" s="19"/>
      <c r="E28" s="19"/>
      <c r="F28" s="19"/>
      <c r="G28" s="19"/>
    </row>
  </sheetData>
  <mergeCells count="2">
    <mergeCell ref="B4:G24"/>
    <mergeCell ref="B2:G3"/>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OpenScannerUI">
                <anchor moveWithCells="1" sizeWithCells="1">
                  <from>
                    <xdr:col>8</xdr:col>
                    <xdr:colOff>200025</xdr:colOff>
                    <xdr:row>4</xdr:row>
                    <xdr:rowOff>142875</xdr:rowOff>
                  </from>
                  <to>
                    <xdr:col>14</xdr:col>
                    <xdr:colOff>438150</xdr:colOff>
                    <xdr:row>13</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pageSetUpPr fitToPage="1"/>
  </sheetPr>
  <dimension ref="A1:P1378"/>
  <sheetViews>
    <sheetView topLeftCell="A239" zoomScaleNormal="100" workbookViewId="0">
      <selection activeCell="K255" activeCellId="4" sqref="K251 K252 K253 K254 K255"/>
    </sheetView>
  </sheetViews>
  <sheetFormatPr defaultRowHeight="15" x14ac:dyDescent="0.25"/>
  <cols>
    <col min="1" max="1" width="19" customWidth="1"/>
    <col min="2" max="2" width="46.5703125" customWidth="1"/>
    <col min="3" max="6" width="17.140625" customWidth="1"/>
    <col min="7" max="7" width="34.28515625" customWidth="1"/>
    <col min="8" max="8" width="35.85546875" bestFit="1" customWidth="1"/>
    <col min="9" max="9" width="19.5703125" customWidth="1"/>
    <col min="10" max="11" width="28" customWidth="1"/>
    <col min="12" max="13" width="24.42578125" customWidth="1"/>
    <col min="14" max="14" width="18" customWidth="1"/>
    <col min="15" max="15" width="18.5703125" style="22" customWidth="1"/>
    <col min="17" max="17" width="58.85546875" bestFit="1" customWidth="1"/>
  </cols>
  <sheetData>
    <row r="1" spans="1:16" x14ac:dyDescent="0.25">
      <c r="A1" s="12" t="s">
        <v>0</v>
      </c>
      <c r="B1" s="12" t="s">
        <v>1</v>
      </c>
      <c r="C1" s="12" t="s">
        <v>2</v>
      </c>
      <c r="D1" s="12" t="s">
        <v>3</v>
      </c>
      <c r="E1" s="12" t="s">
        <v>4</v>
      </c>
      <c r="F1" s="12" t="s">
        <v>5</v>
      </c>
      <c r="G1" s="12" t="s">
        <v>6</v>
      </c>
      <c r="H1" s="12" t="s">
        <v>139</v>
      </c>
      <c r="I1" s="12" t="s">
        <v>251</v>
      </c>
      <c r="J1" s="20" t="s">
        <v>156</v>
      </c>
      <c r="K1" s="12" t="s">
        <v>617</v>
      </c>
      <c r="L1" s="20" t="s">
        <v>157</v>
      </c>
      <c r="M1" s="20" t="s">
        <v>158</v>
      </c>
      <c r="N1" s="20" t="s">
        <v>159</v>
      </c>
      <c r="O1"/>
    </row>
    <row r="2" spans="1:16" ht="71.25" x14ac:dyDescent="0.25">
      <c r="A2" s="2" t="s">
        <v>252</v>
      </c>
      <c r="B2" s="3" t="s">
        <v>254</v>
      </c>
      <c r="C2" s="2" t="s">
        <v>15</v>
      </c>
      <c r="D2" s="3">
        <v>1</v>
      </c>
      <c r="E2" s="3">
        <v>3</v>
      </c>
      <c r="F2" s="13">
        <v>2</v>
      </c>
      <c r="G2" s="24" t="str">
        <f t="shared" ref="G2:G65" si="0">"*"&amp;A2&amp;"*"</f>
        <v>*K100593*</v>
      </c>
      <c r="H2" t="s">
        <v>140</v>
      </c>
      <c r="I2" s="25" t="s">
        <v>253</v>
      </c>
      <c r="J2" s="4" t="s">
        <v>256</v>
      </c>
      <c r="K2" s="4"/>
      <c r="L2" s="4"/>
      <c r="M2" s="4"/>
      <c r="N2" s="21"/>
      <c r="O2"/>
    </row>
    <row r="3" spans="1:16" ht="51" x14ac:dyDescent="0.25">
      <c r="A3" s="2" t="s">
        <v>161</v>
      </c>
      <c r="B3" s="3" t="s">
        <v>16</v>
      </c>
      <c r="C3" s="2" t="s">
        <v>15</v>
      </c>
      <c r="D3" s="3">
        <v>1</v>
      </c>
      <c r="E3" s="3">
        <v>3</v>
      </c>
      <c r="F3" s="13">
        <v>2</v>
      </c>
      <c r="G3" s="24" t="str">
        <f t="shared" si="0"/>
        <v>*TEMP0001*</v>
      </c>
      <c r="H3" t="s">
        <v>140</v>
      </c>
      <c r="I3" s="26" t="s">
        <v>257</v>
      </c>
      <c r="J3" s="4" t="s">
        <v>255</v>
      </c>
      <c r="K3" s="4"/>
      <c r="L3" s="4"/>
      <c r="M3" s="4"/>
      <c r="N3" s="21"/>
      <c r="O3"/>
      <c r="P3" s="23" t="s">
        <v>160</v>
      </c>
    </row>
    <row r="4" spans="1:16" ht="51" x14ac:dyDescent="0.25">
      <c r="A4" s="2" t="s">
        <v>258</v>
      </c>
      <c r="B4" s="3" t="s">
        <v>285</v>
      </c>
      <c r="C4" s="2" t="s">
        <v>15</v>
      </c>
      <c r="D4" s="2">
        <v>2</v>
      </c>
      <c r="E4" s="2">
        <v>6</v>
      </c>
      <c r="F4" s="14">
        <v>4</v>
      </c>
      <c r="G4" s="24" t="str">
        <f t="shared" si="0"/>
        <v>*K51008*</v>
      </c>
      <c r="H4" t="s">
        <v>140</v>
      </c>
      <c r="I4" s="26" t="s">
        <v>260</v>
      </c>
      <c r="J4" s="4" t="s">
        <v>259</v>
      </c>
      <c r="K4" s="4"/>
      <c r="L4" s="4"/>
      <c r="M4" s="4"/>
      <c r="N4" s="21"/>
      <c r="O4"/>
      <c r="P4" s="23"/>
    </row>
    <row r="5" spans="1:16" ht="51" x14ac:dyDescent="0.25">
      <c r="A5" s="2" t="s">
        <v>261</v>
      </c>
      <c r="B5" s="27" t="s">
        <v>262</v>
      </c>
      <c r="C5" s="2" t="s">
        <v>15</v>
      </c>
      <c r="D5" s="2">
        <v>1</v>
      </c>
      <c r="E5" s="2">
        <v>3</v>
      </c>
      <c r="F5" s="14">
        <v>2</v>
      </c>
      <c r="G5" s="24" t="str">
        <f t="shared" si="0"/>
        <v>*K25686*</v>
      </c>
      <c r="H5" t="s">
        <v>140</v>
      </c>
      <c r="I5" s="27" t="s">
        <v>264</v>
      </c>
      <c r="J5" s="4" t="s">
        <v>263</v>
      </c>
      <c r="K5" s="4"/>
      <c r="L5" s="4"/>
      <c r="M5" s="4"/>
      <c r="N5" s="21"/>
      <c r="O5"/>
      <c r="P5" s="23"/>
    </row>
    <row r="6" spans="1:16" ht="51" x14ac:dyDescent="0.25">
      <c r="A6" s="2" t="s">
        <v>265</v>
      </c>
      <c r="B6" s="28" t="s">
        <v>286</v>
      </c>
      <c r="C6" s="2" t="s">
        <v>15</v>
      </c>
      <c r="D6" s="2">
        <v>2</v>
      </c>
      <c r="E6" s="2">
        <v>4</v>
      </c>
      <c r="F6" s="14">
        <v>4</v>
      </c>
      <c r="G6" s="24" t="str">
        <f t="shared" si="0"/>
        <v>*K25710*</v>
      </c>
      <c r="H6" t="s">
        <v>140</v>
      </c>
      <c r="I6" s="29" t="s">
        <v>266</v>
      </c>
      <c r="J6" s="4" t="s">
        <v>256</v>
      </c>
      <c r="K6" s="4"/>
      <c r="L6" s="4"/>
      <c r="M6" s="4"/>
      <c r="N6" s="21"/>
      <c r="O6"/>
      <c r="P6" s="23"/>
    </row>
    <row r="7" spans="1:16" ht="51" x14ac:dyDescent="0.25">
      <c r="A7" s="2" t="s">
        <v>162</v>
      </c>
      <c r="B7" s="28" t="s">
        <v>17</v>
      </c>
      <c r="C7" s="2" t="s">
        <v>15</v>
      </c>
      <c r="D7" s="2">
        <v>2</v>
      </c>
      <c r="E7" s="2">
        <v>4</v>
      </c>
      <c r="F7" s="14">
        <v>9</v>
      </c>
      <c r="G7" s="24" t="str">
        <f t="shared" si="0"/>
        <v>*TEMP0002*</v>
      </c>
      <c r="H7" t="s">
        <v>140</v>
      </c>
      <c r="I7" s="29"/>
      <c r="J7" s="4" t="s">
        <v>256</v>
      </c>
      <c r="K7" s="4"/>
      <c r="L7" s="4"/>
      <c r="M7" s="4"/>
      <c r="N7" s="21"/>
      <c r="O7"/>
      <c r="P7" s="23"/>
    </row>
    <row r="8" spans="1:16" ht="51" x14ac:dyDescent="0.25">
      <c r="A8" s="2" t="s">
        <v>267</v>
      </c>
      <c r="B8" s="3" t="s">
        <v>287</v>
      </c>
      <c r="C8" s="2" t="s">
        <v>15</v>
      </c>
      <c r="D8" s="3">
        <v>2</v>
      </c>
      <c r="E8" s="3">
        <v>6</v>
      </c>
      <c r="F8" s="13">
        <v>6</v>
      </c>
      <c r="G8" s="24" t="str">
        <f t="shared" si="0"/>
        <v>*K100398*</v>
      </c>
      <c r="H8" t="s">
        <v>140</v>
      </c>
      <c r="I8" s="26"/>
      <c r="J8" s="4"/>
      <c r="K8" s="4"/>
      <c r="L8" s="4"/>
      <c r="M8" s="4"/>
      <c r="N8" s="21"/>
      <c r="O8"/>
    </row>
    <row r="9" spans="1:16" ht="51" x14ac:dyDescent="0.25">
      <c r="A9" s="2" t="s">
        <v>268</v>
      </c>
      <c r="B9" s="3" t="s">
        <v>288</v>
      </c>
      <c r="C9" s="2" t="s">
        <v>15</v>
      </c>
      <c r="D9" s="3">
        <v>2</v>
      </c>
      <c r="E9" s="3">
        <v>6</v>
      </c>
      <c r="F9" s="13">
        <v>2</v>
      </c>
      <c r="G9" s="24" t="str">
        <f t="shared" si="0"/>
        <v>*K25696*</v>
      </c>
      <c r="H9" t="s">
        <v>140</v>
      </c>
      <c r="I9" s="26"/>
      <c r="J9" s="4" t="s">
        <v>259</v>
      </c>
      <c r="K9" s="4"/>
      <c r="L9" s="4"/>
      <c r="M9" s="4"/>
      <c r="N9" s="21"/>
      <c r="O9"/>
    </row>
    <row r="10" spans="1:16" ht="51" x14ac:dyDescent="0.25">
      <c r="A10" s="2" t="s">
        <v>269</v>
      </c>
      <c r="B10" s="3" t="s">
        <v>289</v>
      </c>
      <c r="C10" s="2" t="s">
        <v>15</v>
      </c>
      <c r="D10" s="3">
        <v>2</v>
      </c>
      <c r="E10" s="3">
        <v>6</v>
      </c>
      <c r="F10" s="13">
        <v>3</v>
      </c>
      <c r="G10" s="24" t="str">
        <f t="shared" si="0"/>
        <v>*K100974*</v>
      </c>
      <c r="H10" t="s">
        <v>140</v>
      </c>
      <c r="I10" s="26"/>
      <c r="J10" s="4"/>
      <c r="K10" s="4"/>
      <c r="L10" s="4"/>
      <c r="M10" s="4"/>
      <c r="N10" s="21"/>
      <c r="O10"/>
    </row>
    <row r="11" spans="1:16" ht="51" x14ac:dyDescent="0.25">
      <c r="A11" s="2" t="s">
        <v>163</v>
      </c>
      <c r="B11" s="3" t="s">
        <v>18</v>
      </c>
      <c r="C11" s="2" t="s">
        <v>15</v>
      </c>
      <c r="D11" s="3">
        <v>1</v>
      </c>
      <c r="E11" s="3">
        <v>2</v>
      </c>
      <c r="F11" s="13">
        <v>1</v>
      </c>
      <c r="G11" s="24" t="str">
        <f t="shared" si="0"/>
        <v>*TEMP0003*</v>
      </c>
      <c r="H11" t="s">
        <v>140</v>
      </c>
      <c r="I11" s="26"/>
      <c r="J11" s="4"/>
      <c r="K11" s="4"/>
      <c r="L11" s="4"/>
      <c r="M11" s="4"/>
      <c r="N11" s="21"/>
      <c r="O11"/>
    </row>
    <row r="12" spans="1:16" ht="51" x14ac:dyDescent="0.25">
      <c r="A12" s="2" t="s">
        <v>164</v>
      </c>
      <c r="B12" s="3" t="s">
        <v>19</v>
      </c>
      <c r="C12" s="2" t="s">
        <v>15</v>
      </c>
      <c r="D12" s="2">
        <v>2</v>
      </c>
      <c r="E12" s="2">
        <v>4</v>
      </c>
      <c r="F12" s="14">
        <v>3</v>
      </c>
      <c r="G12" s="24" t="str">
        <f t="shared" si="0"/>
        <v>*TEMP0004*</v>
      </c>
      <c r="H12" t="s">
        <v>140</v>
      </c>
      <c r="I12" s="26"/>
      <c r="J12" s="4"/>
      <c r="K12" s="4"/>
      <c r="L12" s="4"/>
      <c r="M12" s="4"/>
      <c r="N12" s="21"/>
      <c r="O12"/>
    </row>
    <row r="13" spans="1:16" ht="51" x14ac:dyDescent="0.25">
      <c r="A13" s="2" t="s">
        <v>270</v>
      </c>
      <c r="B13" s="3" t="s">
        <v>290</v>
      </c>
      <c r="C13" s="2" t="s">
        <v>15</v>
      </c>
      <c r="D13" s="2">
        <v>2</v>
      </c>
      <c r="E13" s="2">
        <v>4</v>
      </c>
      <c r="F13" s="14">
        <v>5</v>
      </c>
      <c r="G13" s="24" t="str">
        <f t="shared" si="0"/>
        <v>*K102372*</v>
      </c>
      <c r="H13" t="s">
        <v>140</v>
      </c>
      <c r="I13" s="26"/>
      <c r="J13" s="4"/>
      <c r="K13" s="4"/>
      <c r="L13" s="4"/>
      <c r="M13" s="4"/>
      <c r="N13" s="21"/>
      <c r="O13"/>
    </row>
    <row r="14" spans="1:16" ht="51" x14ac:dyDescent="0.25">
      <c r="A14" s="2" t="s">
        <v>577</v>
      </c>
      <c r="B14" s="3" t="s">
        <v>20</v>
      </c>
      <c r="C14" s="2" t="s">
        <v>15</v>
      </c>
      <c r="D14" s="2">
        <v>1</v>
      </c>
      <c r="E14" s="2">
        <v>2</v>
      </c>
      <c r="F14" s="14">
        <v>1</v>
      </c>
      <c r="G14" s="24" t="str">
        <f t="shared" si="0"/>
        <v>*TEMP0005*</v>
      </c>
      <c r="H14" t="s">
        <v>140</v>
      </c>
      <c r="I14" s="26"/>
      <c r="J14" s="4"/>
      <c r="K14" s="4"/>
      <c r="L14" s="4"/>
      <c r="M14" s="4"/>
      <c r="N14" s="21"/>
      <c r="O14"/>
    </row>
    <row r="15" spans="1:16" ht="51" x14ac:dyDescent="0.25">
      <c r="A15" s="2" t="s">
        <v>271</v>
      </c>
      <c r="B15" s="3" t="s">
        <v>291</v>
      </c>
      <c r="C15" s="2" t="s">
        <v>15</v>
      </c>
      <c r="D15" s="2">
        <v>2</v>
      </c>
      <c r="E15" s="2">
        <v>4</v>
      </c>
      <c r="F15" s="14">
        <v>3</v>
      </c>
      <c r="G15" s="24" t="str">
        <f t="shared" si="0"/>
        <v>*K100223*</v>
      </c>
      <c r="H15" t="s">
        <v>140</v>
      </c>
      <c r="I15" s="26"/>
      <c r="J15" s="4"/>
      <c r="K15" s="4"/>
      <c r="L15" s="4"/>
      <c r="M15" s="4"/>
      <c r="N15" s="21"/>
      <c r="O15"/>
    </row>
    <row r="16" spans="1:16" ht="51" x14ac:dyDescent="0.25">
      <c r="A16" s="2" t="s">
        <v>272</v>
      </c>
      <c r="B16" s="3" t="s">
        <v>292</v>
      </c>
      <c r="C16" s="2" t="s">
        <v>15</v>
      </c>
      <c r="D16" s="2">
        <v>1</v>
      </c>
      <c r="E16" s="2">
        <v>3</v>
      </c>
      <c r="F16" s="14">
        <v>3</v>
      </c>
      <c r="G16" s="24" t="str">
        <f t="shared" si="0"/>
        <v>*K25698*</v>
      </c>
      <c r="H16" t="s">
        <v>140</v>
      </c>
      <c r="I16" s="26"/>
      <c r="J16" s="4"/>
      <c r="K16" s="4"/>
      <c r="L16" s="4"/>
      <c r="M16" s="4"/>
      <c r="N16" s="21"/>
      <c r="O16"/>
    </row>
    <row r="17" spans="1:15" ht="51" x14ac:dyDescent="0.25">
      <c r="A17" s="2" t="s">
        <v>273</v>
      </c>
      <c r="B17" s="3" t="s">
        <v>293</v>
      </c>
      <c r="C17" s="2" t="s">
        <v>15</v>
      </c>
      <c r="D17" s="2">
        <v>1</v>
      </c>
      <c r="E17" s="2">
        <v>2</v>
      </c>
      <c r="F17" s="14">
        <v>1</v>
      </c>
      <c r="G17" s="24" t="str">
        <f t="shared" si="0"/>
        <v>*K101747*</v>
      </c>
      <c r="H17" t="s">
        <v>140</v>
      </c>
      <c r="I17" s="26"/>
      <c r="J17" s="4"/>
      <c r="K17" s="4"/>
      <c r="L17" s="4"/>
      <c r="M17" s="4"/>
      <c r="N17" s="21"/>
      <c r="O17"/>
    </row>
    <row r="18" spans="1:15" ht="51" x14ac:dyDescent="0.25">
      <c r="A18" s="2" t="s">
        <v>165</v>
      </c>
      <c r="B18" s="3" t="s">
        <v>21</v>
      </c>
      <c r="C18" s="2" t="s">
        <v>15</v>
      </c>
      <c r="D18" s="2">
        <v>2</v>
      </c>
      <c r="E18" s="2">
        <v>4</v>
      </c>
      <c r="F18" s="14">
        <v>4</v>
      </c>
      <c r="G18" s="24" t="str">
        <f t="shared" si="0"/>
        <v>*TEMP0006*</v>
      </c>
      <c r="H18" t="s">
        <v>140</v>
      </c>
      <c r="I18" s="26"/>
      <c r="J18" s="4"/>
      <c r="K18" s="4"/>
      <c r="L18" s="4"/>
      <c r="M18" s="4"/>
      <c r="N18" s="21"/>
      <c r="O18"/>
    </row>
    <row r="19" spans="1:15" ht="51" x14ac:dyDescent="0.25">
      <c r="A19" s="30" t="s">
        <v>166</v>
      </c>
      <c r="B19" s="31" t="s">
        <v>22</v>
      </c>
      <c r="C19" s="30" t="s">
        <v>23</v>
      </c>
      <c r="D19" s="2">
        <v>2</v>
      </c>
      <c r="E19" s="2">
        <v>4</v>
      </c>
      <c r="F19" s="14">
        <v>4</v>
      </c>
      <c r="G19" s="24" t="str">
        <f t="shared" si="0"/>
        <v>*TEMP0007*</v>
      </c>
      <c r="H19" t="s">
        <v>140</v>
      </c>
      <c r="I19" s="26"/>
      <c r="J19" s="4" t="s">
        <v>558</v>
      </c>
      <c r="K19" s="4"/>
      <c r="L19" s="4"/>
      <c r="M19" s="4"/>
      <c r="N19" s="21"/>
      <c r="O19"/>
    </row>
    <row r="20" spans="1:15" ht="51" x14ac:dyDescent="0.25">
      <c r="A20" s="2" t="s">
        <v>167</v>
      </c>
      <c r="B20" s="3" t="s">
        <v>24</v>
      </c>
      <c r="C20" s="2" t="s">
        <v>23</v>
      </c>
      <c r="D20" s="2">
        <v>1</v>
      </c>
      <c r="E20" s="2">
        <v>2</v>
      </c>
      <c r="F20" s="14">
        <v>2</v>
      </c>
      <c r="G20" s="24" t="str">
        <f t="shared" si="0"/>
        <v>*TEMP0008*</v>
      </c>
      <c r="H20" t="s">
        <v>140</v>
      </c>
      <c r="I20" s="26"/>
      <c r="J20" s="4" t="s">
        <v>559</v>
      </c>
      <c r="K20" s="4"/>
      <c r="L20" s="4"/>
      <c r="M20" s="4"/>
      <c r="N20" s="21"/>
      <c r="O20"/>
    </row>
    <row r="21" spans="1:15" ht="51" x14ac:dyDescent="0.25">
      <c r="A21" s="2" t="s">
        <v>168</v>
      </c>
      <c r="B21" s="3" t="s">
        <v>25</v>
      </c>
      <c r="C21" s="2" t="s">
        <v>23</v>
      </c>
      <c r="D21" s="2">
        <v>1</v>
      </c>
      <c r="E21" s="2">
        <v>2</v>
      </c>
      <c r="F21" s="14">
        <v>1</v>
      </c>
      <c r="G21" s="24" t="str">
        <f t="shared" si="0"/>
        <v>*TEMP0009*</v>
      </c>
      <c r="H21" t="s">
        <v>140</v>
      </c>
      <c r="I21" s="26"/>
      <c r="J21" s="4"/>
      <c r="K21" s="4"/>
      <c r="L21" s="4"/>
      <c r="M21" s="4"/>
      <c r="N21" s="21"/>
      <c r="O21"/>
    </row>
    <row r="22" spans="1:15" ht="51" x14ac:dyDescent="0.25">
      <c r="A22" s="2" t="s">
        <v>169</v>
      </c>
      <c r="B22" s="3" t="s">
        <v>26</v>
      </c>
      <c r="C22" s="2" t="s">
        <v>23</v>
      </c>
      <c r="D22" s="2">
        <v>2</v>
      </c>
      <c r="E22" s="2">
        <v>4</v>
      </c>
      <c r="F22" s="14">
        <v>5</v>
      </c>
      <c r="G22" s="24" t="str">
        <f t="shared" si="0"/>
        <v>*TEMP0010*</v>
      </c>
      <c r="H22" t="s">
        <v>140</v>
      </c>
      <c r="I22" s="26"/>
      <c r="J22" s="4" t="s">
        <v>259</v>
      </c>
      <c r="K22" s="4"/>
      <c r="L22" s="4"/>
      <c r="M22" s="4"/>
      <c r="N22" s="21"/>
      <c r="O22"/>
    </row>
    <row r="23" spans="1:15" ht="51" x14ac:dyDescent="0.25">
      <c r="A23" s="2" t="s">
        <v>170</v>
      </c>
      <c r="B23" s="3" t="s">
        <v>27</v>
      </c>
      <c r="C23" s="2" t="s">
        <v>23</v>
      </c>
      <c r="D23" s="2">
        <v>2</v>
      </c>
      <c r="E23" s="2">
        <v>4</v>
      </c>
      <c r="F23" s="14">
        <v>4</v>
      </c>
      <c r="G23" s="24" t="str">
        <f t="shared" si="0"/>
        <v>*TEMP0011*</v>
      </c>
      <c r="H23" t="s">
        <v>140</v>
      </c>
      <c r="I23" s="26"/>
      <c r="J23" s="4" t="s">
        <v>558</v>
      </c>
      <c r="K23" s="4"/>
      <c r="L23" s="4"/>
      <c r="M23" s="4"/>
      <c r="N23" s="21"/>
      <c r="O23"/>
    </row>
    <row r="24" spans="1:15" ht="51" x14ac:dyDescent="0.25">
      <c r="A24" s="2" t="s">
        <v>171</v>
      </c>
      <c r="B24" s="3" t="s">
        <v>28</v>
      </c>
      <c r="C24" s="2" t="s">
        <v>23</v>
      </c>
      <c r="D24" s="2">
        <v>2</v>
      </c>
      <c r="E24" s="2">
        <v>4</v>
      </c>
      <c r="F24" s="14">
        <v>6</v>
      </c>
      <c r="G24" s="24" t="str">
        <f t="shared" si="0"/>
        <v>*TEMP0012*</v>
      </c>
      <c r="H24" t="s">
        <v>140</v>
      </c>
      <c r="I24" s="26"/>
      <c r="J24" s="4" t="s">
        <v>560</v>
      </c>
      <c r="K24" s="4"/>
      <c r="L24" s="4"/>
      <c r="M24" s="4"/>
      <c r="N24" s="21"/>
      <c r="O24"/>
    </row>
    <row r="25" spans="1:15" ht="51" x14ac:dyDescent="0.25">
      <c r="A25" s="2" t="s">
        <v>172</v>
      </c>
      <c r="B25" s="3" t="s">
        <v>29</v>
      </c>
      <c r="C25" s="2" t="s">
        <v>23</v>
      </c>
      <c r="D25" s="2">
        <v>4</v>
      </c>
      <c r="E25" s="2">
        <v>6</v>
      </c>
      <c r="F25" s="14">
        <v>7</v>
      </c>
      <c r="G25" s="24" t="str">
        <f t="shared" si="0"/>
        <v>*TEMP0013*</v>
      </c>
      <c r="H25" t="s">
        <v>140</v>
      </c>
      <c r="I25" s="26"/>
      <c r="J25" s="4"/>
      <c r="K25" s="4"/>
      <c r="L25" s="4"/>
      <c r="M25" s="4"/>
      <c r="N25" s="21"/>
      <c r="O25"/>
    </row>
    <row r="26" spans="1:15" ht="51" x14ac:dyDescent="0.25">
      <c r="A26" s="2" t="s">
        <v>173</v>
      </c>
      <c r="B26" s="3" t="s">
        <v>30</v>
      </c>
      <c r="C26" s="2" t="s">
        <v>23</v>
      </c>
      <c r="D26" s="2">
        <v>2</v>
      </c>
      <c r="E26" s="2">
        <v>4</v>
      </c>
      <c r="F26" s="13">
        <v>1</v>
      </c>
      <c r="G26" s="24" t="str">
        <f t="shared" si="0"/>
        <v>*TEMP0014*</v>
      </c>
      <c r="H26" t="s">
        <v>140</v>
      </c>
      <c r="I26" s="26"/>
      <c r="J26" s="4" t="s">
        <v>259</v>
      </c>
      <c r="K26" s="4"/>
      <c r="L26" s="4"/>
      <c r="M26" s="4"/>
      <c r="N26" s="21"/>
      <c r="O26"/>
    </row>
    <row r="27" spans="1:15" ht="51" x14ac:dyDescent="0.25">
      <c r="A27" s="2" t="s">
        <v>174</v>
      </c>
      <c r="B27" s="3" t="s">
        <v>31</v>
      </c>
      <c r="C27" s="2" t="s">
        <v>23</v>
      </c>
      <c r="D27" s="2">
        <v>0</v>
      </c>
      <c r="E27" s="2">
        <v>1</v>
      </c>
      <c r="F27" s="13">
        <v>1</v>
      </c>
      <c r="G27" s="24" t="str">
        <f t="shared" si="0"/>
        <v>*TEMP0015*</v>
      </c>
      <c r="H27" t="s">
        <v>140</v>
      </c>
      <c r="I27" s="26"/>
      <c r="J27" s="4"/>
      <c r="K27" s="4"/>
      <c r="L27" s="4"/>
      <c r="M27" s="4"/>
      <c r="N27" s="21"/>
      <c r="O27"/>
    </row>
    <row r="28" spans="1:15" ht="51" x14ac:dyDescent="0.25">
      <c r="A28" s="2" t="s">
        <v>175</v>
      </c>
      <c r="B28" s="3" t="s">
        <v>32</v>
      </c>
      <c r="C28" s="2" t="s">
        <v>23</v>
      </c>
      <c r="D28" s="2">
        <v>0</v>
      </c>
      <c r="E28" s="2">
        <v>1</v>
      </c>
      <c r="F28" s="13">
        <v>1</v>
      </c>
      <c r="G28" s="24" t="str">
        <f t="shared" si="0"/>
        <v>*TEMP0016*</v>
      </c>
      <c r="H28" t="s">
        <v>140</v>
      </c>
      <c r="I28" s="26"/>
      <c r="J28" s="4"/>
      <c r="K28" s="4"/>
      <c r="L28" s="4"/>
      <c r="M28" s="4"/>
      <c r="N28" s="21"/>
      <c r="O28"/>
    </row>
    <row r="29" spans="1:15" ht="51" x14ac:dyDescent="0.25">
      <c r="A29" s="2" t="s">
        <v>176</v>
      </c>
      <c r="B29" s="3" t="s">
        <v>33</v>
      </c>
      <c r="C29" s="2" t="s">
        <v>23</v>
      </c>
      <c r="D29" s="2">
        <v>0</v>
      </c>
      <c r="E29" s="2">
        <v>1</v>
      </c>
      <c r="F29" s="13">
        <v>1</v>
      </c>
      <c r="G29" s="24" t="str">
        <f t="shared" si="0"/>
        <v>*TEMP0017*</v>
      </c>
      <c r="H29" t="s">
        <v>140</v>
      </c>
      <c r="I29" s="26"/>
      <c r="J29" s="4"/>
      <c r="K29" s="4"/>
      <c r="L29" s="4"/>
      <c r="M29" s="4"/>
      <c r="N29" s="21"/>
      <c r="O29"/>
    </row>
    <row r="30" spans="1:15" ht="51" x14ac:dyDescent="0.25">
      <c r="A30" s="2" t="s">
        <v>177</v>
      </c>
      <c r="B30" s="3" t="s">
        <v>34</v>
      </c>
      <c r="C30" s="2" t="s">
        <v>23</v>
      </c>
      <c r="D30" s="2">
        <v>0</v>
      </c>
      <c r="E30" s="2">
        <v>1</v>
      </c>
      <c r="F30" s="13">
        <v>1</v>
      </c>
      <c r="G30" s="24" t="str">
        <f t="shared" si="0"/>
        <v>*TEMP0018*</v>
      </c>
      <c r="H30" t="s">
        <v>140</v>
      </c>
      <c r="I30" s="26"/>
      <c r="J30" s="4"/>
      <c r="K30" s="4"/>
      <c r="L30" s="4"/>
      <c r="M30" s="4"/>
      <c r="N30" s="21"/>
      <c r="O30"/>
    </row>
    <row r="31" spans="1:15" ht="51" x14ac:dyDescent="0.25">
      <c r="A31" s="2" t="s">
        <v>178</v>
      </c>
      <c r="B31" s="3" t="s">
        <v>35</v>
      </c>
      <c r="C31" s="2" t="s">
        <v>23</v>
      </c>
      <c r="D31" s="3">
        <v>0</v>
      </c>
      <c r="E31" s="3">
        <v>1</v>
      </c>
      <c r="F31" s="13">
        <v>1</v>
      </c>
      <c r="G31" s="24" t="str">
        <f t="shared" si="0"/>
        <v>*TEMP0019*</v>
      </c>
      <c r="H31" t="s">
        <v>140</v>
      </c>
      <c r="I31" s="26"/>
      <c r="J31" s="4" t="s">
        <v>549</v>
      </c>
      <c r="K31" s="4"/>
      <c r="L31" s="4"/>
      <c r="M31" s="4"/>
      <c r="N31" s="21"/>
      <c r="O31"/>
    </row>
    <row r="32" spans="1:15" ht="51" x14ac:dyDescent="0.25">
      <c r="A32" s="2" t="s">
        <v>179</v>
      </c>
      <c r="B32" s="3" t="s">
        <v>36</v>
      </c>
      <c r="C32" s="2" t="s">
        <v>23</v>
      </c>
      <c r="D32" s="3">
        <v>0</v>
      </c>
      <c r="E32" s="3">
        <v>1</v>
      </c>
      <c r="F32" s="13">
        <v>1</v>
      </c>
      <c r="G32" s="24" t="str">
        <f t="shared" si="0"/>
        <v>*TEMP0020*</v>
      </c>
      <c r="H32" t="s">
        <v>140</v>
      </c>
      <c r="I32" s="26"/>
      <c r="J32" s="4"/>
      <c r="K32" s="4"/>
      <c r="L32" s="4"/>
      <c r="M32" s="4"/>
      <c r="N32" s="21"/>
      <c r="O32"/>
    </row>
    <row r="33" spans="1:15" ht="51" x14ac:dyDescent="0.25">
      <c r="A33" s="2" t="s">
        <v>180</v>
      </c>
      <c r="B33" s="3" t="s">
        <v>33</v>
      </c>
      <c r="C33" s="2" t="s">
        <v>23</v>
      </c>
      <c r="D33" s="2">
        <v>0</v>
      </c>
      <c r="E33" s="2">
        <v>1</v>
      </c>
      <c r="F33" s="13">
        <v>1</v>
      </c>
      <c r="G33" s="24" t="str">
        <f t="shared" si="0"/>
        <v>*TEMP0021*</v>
      </c>
      <c r="H33" t="s">
        <v>140</v>
      </c>
      <c r="I33" s="26"/>
      <c r="J33" s="4"/>
      <c r="K33" s="4"/>
      <c r="L33" s="4"/>
      <c r="M33" s="4"/>
      <c r="N33" s="21"/>
      <c r="O33"/>
    </row>
    <row r="34" spans="1:15" ht="51" x14ac:dyDescent="0.25">
      <c r="A34" s="2" t="s">
        <v>181</v>
      </c>
      <c r="B34" s="3" t="s">
        <v>37</v>
      </c>
      <c r="C34" s="2" t="s">
        <v>23</v>
      </c>
      <c r="D34" s="2">
        <v>0</v>
      </c>
      <c r="E34" s="2">
        <v>2</v>
      </c>
      <c r="F34" s="13">
        <v>2</v>
      </c>
      <c r="G34" s="24" t="str">
        <f t="shared" si="0"/>
        <v>*TEMP0022*</v>
      </c>
      <c r="H34" t="s">
        <v>140</v>
      </c>
      <c r="I34" s="26"/>
      <c r="J34" s="4"/>
      <c r="K34" s="4"/>
      <c r="L34" s="4"/>
      <c r="M34" s="4"/>
      <c r="N34" s="21"/>
      <c r="O34"/>
    </row>
    <row r="35" spans="1:15" ht="51" x14ac:dyDescent="0.25">
      <c r="A35" s="2" t="s">
        <v>182</v>
      </c>
      <c r="B35" s="3" t="s">
        <v>38</v>
      </c>
      <c r="C35" s="2" t="s">
        <v>23</v>
      </c>
      <c r="D35" s="2">
        <v>2</v>
      </c>
      <c r="E35" s="2">
        <v>4</v>
      </c>
      <c r="F35" s="13">
        <v>3</v>
      </c>
      <c r="G35" s="24" t="str">
        <f t="shared" si="0"/>
        <v>*TEMP0023*</v>
      </c>
      <c r="H35" t="s">
        <v>140</v>
      </c>
      <c r="I35" s="26"/>
      <c r="J35" s="4"/>
      <c r="K35" s="4"/>
      <c r="L35" s="4"/>
      <c r="M35" s="4"/>
      <c r="N35" s="21"/>
      <c r="O35"/>
    </row>
    <row r="36" spans="1:15" ht="51" x14ac:dyDescent="0.25">
      <c r="A36" s="2" t="s">
        <v>183</v>
      </c>
      <c r="B36" s="3" t="s">
        <v>39</v>
      </c>
      <c r="C36" s="2" t="s">
        <v>23</v>
      </c>
      <c r="D36" s="2">
        <v>0</v>
      </c>
      <c r="E36" s="2">
        <v>2</v>
      </c>
      <c r="F36" s="14">
        <v>1</v>
      </c>
      <c r="G36" s="24" t="str">
        <f t="shared" si="0"/>
        <v>*TEMP0024*</v>
      </c>
      <c r="H36" t="s">
        <v>140</v>
      </c>
      <c r="I36" s="26"/>
      <c r="J36" s="4"/>
      <c r="K36" s="4"/>
      <c r="L36" s="4"/>
      <c r="M36" s="4"/>
      <c r="N36" s="21"/>
      <c r="O36"/>
    </row>
    <row r="37" spans="1:15" ht="51" x14ac:dyDescent="0.25">
      <c r="A37" s="30" t="s">
        <v>274</v>
      </c>
      <c r="B37" s="31" t="s">
        <v>294</v>
      </c>
      <c r="C37" s="30" t="s">
        <v>306</v>
      </c>
      <c r="D37" s="2">
        <v>1</v>
      </c>
      <c r="E37" s="2">
        <v>3</v>
      </c>
      <c r="F37" s="14">
        <v>3</v>
      </c>
      <c r="G37" s="24" t="str">
        <f t="shared" si="0"/>
        <v>*K100594*</v>
      </c>
      <c r="H37" t="s">
        <v>140</v>
      </c>
      <c r="I37" s="26"/>
      <c r="J37" s="4"/>
      <c r="K37" s="4"/>
      <c r="L37" s="4"/>
      <c r="M37" s="4"/>
      <c r="N37" s="21"/>
      <c r="O37"/>
    </row>
    <row r="38" spans="1:15" ht="51" x14ac:dyDescent="0.25">
      <c r="A38" s="2" t="s">
        <v>275</v>
      </c>
      <c r="B38" s="3" t="s">
        <v>295</v>
      </c>
      <c r="C38" s="2" t="s">
        <v>306</v>
      </c>
      <c r="D38" s="2">
        <v>1</v>
      </c>
      <c r="E38" s="2">
        <v>2</v>
      </c>
      <c r="F38" s="14">
        <v>2</v>
      </c>
      <c r="G38" s="24" t="str">
        <f t="shared" si="0"/>
        <v>*MA050-8006*</v>
      </c>
      <c r="H38" t="s">
        <v>140</v>
      </c>
      <c r="I38" s="26"/>
      <c r="J38" s="4"/>
      <c r="K38" s="4"/>
      <c r="L38" s="4"/>
      <c r="M38" s="4"/>
      <c r="N38" s="21"/>
      <c r="O38"/>
    </row>
    <row r="39" spans="1:15" ht="51" x14ac:dyDescent="0.25">
      <c r="A39" s="2" t="s">
        <v>276</v>
      </c>
      <c r="B39" s="3" t="s">
        <v>296</v>
      </c>
      <c r="C39" s="2" t="s">
        <v>306</v>
      </c>
      <c r="D39" s="2">
        <v>1</v>
      </c>
      <c r="E39" s="2">
        <v>2</v>
      </c>
      <c r="F39" s="14">
        <v>1</v>
      </c>
      <c r="G39" s="24" t="str">
        <f t="shared" si="0"/>
        <v>*K102172*</v>
      </c>
      <c r="H39" t="s">
        <v>140</v>
      </c>
      <c r="I39" s="26"/>
      <c r="J39" s="4"/>
      <c r="K39" s="4"/>
      <c r="L39" s="4"/>
      <c r="M39" s="4"/>
      <c r="N39" s="21"/>
      <c r="O39"/>
    </row>
    <row r="40" spans="1:15" ht="51" x14ac:dyDescent="0.25">
      <c r="A40" s="2" t="s">
        <v>277</v>
      </c>
      <c r="B40" s="3" t="s">
        <v>297</v>
      </c>
      <c r="C40" s="2" t="s">
        <v>306</v>
      </c>
      <c r="D40" s="2">
        <v>1</v>
      </c>
      <c r="E40" s="2">
        <v>2</v>
      </c>
      <c r="F40" s="14">
        <v>2</v>
      </c>
      <c r="G40" s="24" t="str">
        <f t="shared" si="0"/>
        <v>*K25705*</v>
      </c>
      <c r="H40" t="s">
        <v>140</v>
      </c>
      <c r="I40" s="26"/>
      <c r="J40" s="4" t="s">
        <v>561</v>
      </c>
      <c r="K40" s="4"/>
      <c r="L40" s="4"/>
      <c r="M40" s="4"/>
      <c r="N40" s="21"/>
      <c r="O40"/>
    </row>
    <row r="41" spans="1:15" ht="51" x14ac:dyDescent="0.25">
      <c r="A41" s="30" t="s">
        <v>278</v>
      </c>
      <c r="B41" s="31" t="s">
        <v>298</v>
      </c>
      <c r="C41" s="30" t="s">
        <v>41</v>
      </c>
      <c r="D41" s="2">
        <v>1</v>
      </c>
      <c r="E41" s="2">
        <v>3</v>
      </c>
      <c r="F41" s="14">
        <v>3</v>
      </c>
      <c r="G41" s="24" t="str">
        <f t="shared" si="0"/>
        <v>*K100354*</v>
      </c>
      <c r="H41" t="s">
        <v>140</v>
      </c>
      <c r="I41" s="26"/>
      <c r="J41" s="4"/>
      <c r="K41" s="4"/>
      <c r="L41" s="4"/>
      <c r="M41" s="4"/>
      <c r="N41" s="21"/>
      <c r="O41"/>
    </row>
    <row r="42" spans="1:15" ht="51" x14ac:dyDescent="0.25">
      <c r="A42" s="2" t="s">
        <v>184</v>
      </c>
      <c r="B42" s="3" t="s">
        <v>40</v>
      </c>
      <c r="C42" s="2" t="s">
        <v>41</v>
      </c>
      <c r="D42" s="2">
        <v>1</v>
      </c>
      <c r="E42" s="2">
        <v>2</v>
      </c>
      <c r="F42" s="14">
        <v>2</v>
      </c>
      <c r="G42" s="24" t="str">
        <f t="shared" si="0"/>
        <v>*TEMP0025*</v>
      </c>
      <c r="H42" t="s">
        <v>140</v>
      </c>
      <c r="I42" s="26"/>
      <c r="J42" s="4"/>
      <c r="K42" s="4"/>
      <c r="L42" s="4"/>
      <c r="M42" s="4"/>
      <c r="N42" s="21"/>
      <c r="O42"/>
    </row>
    <row r="43" spans="1:15" ht="51" x14ac:dyDescent="0.25">
      <c r="A43" s="2" t="s">
        <v>185</v>
      </c>
      <c r="B43" s="3" t="s">
        <v>42</v>
      </c>
      <c r="C43" s="2" t="s">
        <v>41</v>
      </c>
      <c r="D43" s="2">
        <v>0</v>
      </c>
      <c r="E43" s="2">
        <v>2</v>
      </c>
      <c r="F43" s="14">
        <v>0</v>
      </c>
      <c r="G43" s="24" t="str">
        <f t="shared" si="0"/>
        <v>*TEMP0026*</v>
      </c>
      <c r="H43" t="s">
        <v>140</v>
      </c>
      <c r="I43" s="26"/>
      <c r="J43" s="4"/>
      <c r="K43" s="4"/>
      <c r="L43" s="4"/>
      <c r="M43" s="4"/>
      <c r="N43" s="21"/>
      <c r="O43"/>
    </row>
    <row r="44" spans="1:15" ht="51" x14ac:dyDescent="0.25">
      <c r="A44" s="2" t="s">
        <v>279</v>
      </c>
      <c r="B44" s="3" t="s">
        <v>299</v>
      </c>
      <c r="C44" s="2" t="s">
        <v>41</v>
      </c>
      <c r="D44" s="2">
        <v>1</v>
      </c>
      <c r="E44" s="2">
        <v>3</v>
      </c>
      <c r="F44" s="14">
        <v>3</v>
      </c>
      <c r="G44" s="24" t="str">
        <f t="shared" si="0"/>
        <v>*K25724*</v>
      </c>
      <c r="H44" t="s">
        <v>140</v>
      </c>
      <c r="I44" s="26"/>
      <c r="J44" s="4"/>
      <c r="K44" s="4"/>
      <c r="L44" s="4"/>
      <c r="M44" s="4"/>
      <c r="N44" s="21"/>
      <c r="O44"/>
    </row>
    <row r="45" spans="1:15" ht="51" x14ac:dyDescent="0.25">
      <c r="A45" s="2" t="s">
        <v>186</v>
      </c>
      <c r="B45" s="3" t="s">
        <v>43</v>
      </c>
      <c r="C45" s="2" t="s">
        <v>41</v>
      </c>
      <c r="D45" s="2">
        <v>1</v>
      </c>
      <c r="E45" s="2">
        <v>3</v>
      </c>
      <c r="F45" s="14">
        <v>2</v>
      </c>
      <c r="G45" s="24" t="str">
        <f t="shared" si="0"/>
        <v>*TEMP0027*</v>
      </c>
      <c r="H45" t="s">
        <v>140</v>
      </c>
      <c r="I45" s="26"/>
      <c r="J45" s="4"/>
      <c r="K45" s="4"/>
      <c r="L45" s="4"/>
      <c r="M45" s="4"/>
      <c r="N45" s="21"/>
      <c r="O45"/>
    </row>
    <row r="46" spans="1:15" ht="51" x14ac:dyDescent="0.25">
      <c r="A46" s="2" t="s">
        <v>187</v>
      </c>
      <c r="B46" s="3" t="s">
        <v>44</v>
      </c>
      <c r="C46" s="2" t="s">
        <v>41</v>
      </c>
      <c r="D46" s="2">
        <v>1</v>
      </c>
      <c r="E46" s="2">
        <v>3</v>
      </c>
      <c r="F46" s="14">
        <v>2</v>
      </c>
      <c r="G46" s="24" t="str">
        <f t="shared" si="0"/>
        <v>*TEMP0028*</v>
      </c>
      <c r="H46" t="s">
        <v>140</v>
      </c>
      <c r="I46" s="26"/>
      <c r="J46" s="4"/>
      <c r="K46" s="4"/>
      <c r="L46" s="4"/>
      <c r="M46" s="4"/>
      <c r="N46" s="21"/>
      <c r="O46"/>
    </row>
    <row r="47" spans="1:15" ht="51" x14ac:dyDescent="0.25">
      <c r="A47" s="2" t="s">
        <v>188</v>
      </c>
      <c r="B47" s="3" t="s">
        <v>45</v>
      </c>
      <c r="C47" s="2" t="s">
        <v>41</v>
      </c>
      <c r="D47" s="2">
        <v>1</v>
      </c>
      <c r="E47" s="2">
        <v>3</v>
      </c>
      <c r="F47" s="14">
        <v>0</v>
      </c>
      <c r="G47" s="24" t="str">
        <f t="shared" si="0"/>
        <v>*TEMP0029*</v>
      </c>
      <c r="H47" t="s">
        <v>140</v>
      </c>
      <c r="I47" s="26"/>
      <c r="J47" s="4"/>
      <c r="K47" s="4"/>
      <c r="L47" s="4"/>
      <c r="M47" s="4"/>
      <c r="N47" s="21"/>
      <c r="O47"/>
    </row>
    <row r="48" spans="1:15" ht="51" x14ac:dyDescent="0.25">
      <c r="A48" s="2" t="s">
        <v>189</v>
      </c>
      <c r="B48" s="3" t="s">
        <v>46</v>
      </c>
      <c r="C48" s="2" t="s">
        <v>41</v>
      </c>
      <c r="D48" s="2">
        <v>1</v>
      </c>
      <c r="E48" s="2">
        <v>3</v>
      </c>
      <c r="F48" s="14">
        <v>2</v>
      </c>
      <c r="G48" s="24" t="str">
        <f t="shared" si="0"/>
        <v>*TEMP0030*</v>
      </c>
      <c r="H48" t="s">
        <v>140</v>
      </c>
      <c r="I48" s="26"/>
      <c r="J48" s="4"/>
      <c r="K48" s="4"/>
      <c r="L48" s="4"/>
      <c r="M48" s="4"/>
      <c r="N48" s="21"/>
      <c r="O48"/>
    </row>
    <row r="49" spans="1:15" ht="51" x14ac:dyDescent="0.25">
      <c r="A49" s="2" t="s">
        <v>190</v>
      </c>
      <c r="B49" s="3" t="s">
        <v>47</v>
      </c>
      <c r="C49" s="2" t="s">
        <v>41</v>
      </c>
      <c r="D49" s="2">
        <v>1</v>
      </c>
      <c r="E49" s="2">
        <v>3</v>
      </c>
      <c r="F49" s="14">
        <v>3</v>
      </c>
      <c r="G49" s="24" t="str">
        <f t="shared" si="0"/>
        <v>*TEMP0031*</v>
      </c>
      <c r="H49" t="s">
        <v>140</v>
      </c>
      <c r="I49" s="26"/>
      <c r="J49" s="4"/>
      <c r="K49" s="4"/>
      <c r="L49" s="4"/>
      <c r="M49" s="4"/>
      <c r="N49" s="21"/>
      <c r="O49"/>
    </row>
    <row r="50" spans="1:15" ht="51" x14ac:dyDescent="0.25">
      <c r="A50" s="2" t="s">
        <v>280</v>
      </c>
      <c r="B50" s="3" t="s">
        <v>300</v>
      </c>
      <c r="C50" s="2" t="s">
        <v>41</v>
      </c>
      <c r="D50" s="2">
        <v>1</v>
      </c>
      <c r="E50" s="2">
        <v>3</v>
      </c>
      <c r="F50" s="14">
        <v>3</v>
      </c>
      <c r="G50" s="24" t="str">
        <f t="shared" si="0"/>
        <v>*K25700*</v>
      </c>
      <c r="H50" t="s">
        <v>140</v>
      </c>
      <c r="I50" s="26"/>
      <c r="J50" s="4"/>
      <c r="K50" s="4"/>
      <c r="L50" s="4"/>
      <c r="M50" s="4"/>
      <c r="N50" s="21"/>
      <c r="O50"/>
    </row>
    <row r="51" spans="1:15" ht="51" x14ac:dyDescent="0.25">
      <c r="A51" s="2" t="s">
        <v>191</v>
      </c>
      <c r="B51" s="3" t="s">
        <v>48</v>
      </c>
      <c r="C51" s="2" t="s">
        <v>41</v>
      </c>
      <c r="D51" s="2">
        <v>0</v>
      </c>
      <c r="E51" s="2">
        <v>1</v>
      </c>
      <c r="F51" s="14">
        <v>1</v>
      </c>
      <c r="G51" s="24" t="str">
        <f t="shared" si="0"/>
        <v>*TEMP0032*</v>
      </c>
      <c r="H51" t="s">
        <v>140</v>
      </c>
      <c r="I51" s="26"/>
      <c r="J51" s="4"/>
      <c r="K51" s="4"/>
      <c r="L51" s="4"/>
      <c r="M51" s="4"/>
      <c r="N51" s="21"/>
      <c r="O51"/>
    </row>
    <row r="52" spans="1:15" ht="51" x14ac:dyDescent="0.25">
      <c r="A52" s="2" t="s">
        <v>578</v>
      </c>
      <c r="B52" s="3" t="s">
        <v>301</v>
      </c>
      <c r="C52" s="2" t="s">
        <v>41</v>
      </c>
      <c r="D52" s="2">
        <v>1</v>
      </c>
      <c r="E52" s="2">
        <v>2</v>
      </c>
      <c r="F52" s="14">
        <v>1</v>
      </c>
      <c r="G52" s="24" t="str">
        <f t="shared" si="0"/>
        <v>*K100346*</v>
      </c>
      <c r="H52" t="s">
        <v>140</v>
      </c>
      <c r="I52" s="26"/>
      <c r="J52" s="4"/>
      <c r="K52" s="4"/>
      <c r="L52" s="4"/>
      <c r="M52" s="4"/>
      <c r="N52" s="21"/>
      <c r="O52"/>
    </row>
    <row r="53" spans="1:15" ht="51" x14ac:dyDescent="0.25">
      <c r="A53" s="2" t="s">
        <v>192</v>
      </c>
      <c r="B53" s="3" t="s">
        <v>49</v>
      </c>
      <c r="C53" s="2" t="s">
        <v>41</v>
      </c>
      <c r="D53" s="2">
        <v>1</v>
      </c>
      <c r="E53" s="2">
        <v>2</v>
      </c>
      <c r="F53" s="14">
        <v>1</v>
      </c>
      <c r="G53" s="24" t="str">
        <f t="shared" si="0"/>
        <v>*TEMP0033*</v>
      </c>
      <c r="H53" t="s">
        <v>140</v>
      </c>
      <c r="I53" s="26"/>
      <c r="J53" s="4"/>
      <c r="K53" s="4"/>
      <c r="L53" s="4"/>
      <c r="M53" s="4"/>
      <c r="N53" s="21"/>
      <c r="O53"/>
    </row>
    <row r="54" spans="1:15" ht="51" x14ac:dyDescent="0.25">
      <c r="A54" s="2" t="s">
        <v>193</v>
      </c>
      <c r="B54" s="3" t="s">
        <v>50</v>
      </c>
      <c r="C54" s="2" t="s">
        <v>41</v>
      </c>
      <c r="D54" s="2">
        <v>1</v>
      </c>
      <c r="E54" s="2">
        <v>2</v>
      </c>
      <c r="F54" s="14">
        <v>1</v>
      </c>
      <c r="G54" s="24" t="str">
        <f t="shared" si="0"/>
        <v>*TEMP0034*</v>
      </c>
      <c r="H54" t="s">
        <v>140</v>
      </c>
      <c r="I54" s="26"/>
      <c r="J54" s="4"/>
      <c r="K54" s="4"/>
      <c r="L54" s="4"/>
      <c r="M54" s="4"/>
      <c r="N54" s="21"/>
      <c r="O54"/>
    </row>
    <row r="55" spans="1:15" ht="51" x14ac:dyDescent="0.25">
      <c r="A55" s="2" t="s">
        <v>194</v>
      </c>
      <c r="B55" s="3" t="s">
        <v>51</v>
      </c>
      <c r="C55" s="2" t="s">
        <v>41</v>
      </c>
      <c r="D55" s="2">
        <v>1</v>
      </c>
      <c r="E55" s="2">
        <v>2</v>
      </c>
      <c r="F55" s="14">
        <v>1</v>
      </c>
      <c r="G55" s="24" t="str">
        <f t="shared" si="0"/>
        <v>*TEMP0035*</v>
      </c>
      <c r="H55" t="s">
        <v>140</v>
      </c>
      <c r="I55" s="26"/>
      <c r="J55" s="4"/>
      <c r="K55" s="4"/>
      <c r="L55" s="4"/>
      <c r="M55" s="4"/>
      <c r="N55" s="21"/>
      <c r="O55"/>
    </row>
    <row r="56" spans="1:15" ht="51" x14ac:dyDescent="0.25">
      <c r="A56" s="2" t="s">
        <v>195</v>
      </c>
      <c r="B56" s="3" t="s">
        <v>52</v>
      </c>
      <c r="C56" s="2" t="s">
        <v>41</v>
      </c>
      <c r="D56" s="2">
        <v>1</v>
      </c>
      <c r="E56" s="2">
        <v>2</v>
      </c>
      <c r="F56" s="14">
        <v>1</v>
      </c>
      <c r="G56" s="24" t="str">
        <f t="shared" si="0"/>
        <v>*TEMP0036*</v>
      </c>
      <c r="H56" t="s">
        <v>140</v>
      </c>
      <c r="I56" s="26"/>
      <c r="J56" s="4"/>
      <c r="K56" s="4"/>
      <c r="L56" s="4"/>
      <c r="M56" s="4"/>
      <c r="N56" s="21"/>
      <c r="O56"/>
    </row>
    <row r="57" spans="1:15" ht="51" x14ac:dyDescent="0.25">
      <c r="A57" s="30" t="s">
        <v>196</v>
      </c>
      <c r="B57" s="31" t="s">
        <v>53</v>
      </c>
      <c r="C57" s="30" t="s">
        <v>54</v>
      </c>
      <c r="D57" s="2">
        <v>1</v>
      </c>
      <c r="E57" s="2">
        <v>2</v>
      </c>
      <c r="F57" s="14">
        <v>2</v>
      </c>
      <c r="G57" s="24" t="str">
        <f t="shared" si="0"/>
        <v>*TEMP0037*</v>
      </c>
      <c r="H57" t="s">
        <v>140</v>
      </c>
      <c r="I57" s="26"/>
      <c r="J57" s="4" t="s">
        <v>562</v>
      </c>
      <c r="K57" s="4"/>
      <c r="L57" s="4"/>
      <c r="M57" s="4"/>
      <c r="N57" s="21"/>
      <c r="O57"/>
    </row>
    <row r="58" spans="1:15" ht="51" x14ac:dyDescent="0.25">
      <c r="A58" s="2" t="s">
        <v>197</v>
      </c>
      <c r="B58" s="3" t="s">
        <v>55</v>
      </c>
      <c r="C58" s="2" t="s">
        <v>54</v>
      </c>
      <c r="D58" s="2">
        <v>1</v>
      </c>
      <c r="E58" s="2">
        <v>3</v>
      </c>
      <c r="F58" s="14">
        <v>3</v>
      </c>
      <c r="G58" s="24" t="str">
        <f t="shared" si="0"/>
        <v>*TEMP0038*</v>
      </c>
      <c r="H58" t="s">
        <v>140</v>
      </c>
      <c r="I58" s="26"/>
      <c r="J58" s="4"/>
      <c r="K58" s="4"/>
      <c r="L58" s="4"/>
      <c r="M58" s="4"/>
      <c r="N58" s="21"/>
      <c r="O58"/>
    </row>
    <row r="59" spans="1:15" ht="51" x14ac:dyDescent="0.25">
      <c r="A59" s="2" t="s">
        <v>198</v>
      </c>
      <c r="B59" s="3" t="s">
        <v>56</v>
      </c>
      <c r="C59" s="2" t="s">
        <v>54</v>
      </c>
      <c r="D59" s="2">
        <v>1</v>
      </c>
      <c r="E59" s="2">
        <v>2</v>
      </c>
      <c r="F59" s="14">
        <v>2</v>
      </c>
      <c r="G59" s="24" t="str">
        <f t="shared" si="0"/>
        <v>*TEMP0039*</v>
      </c>
      <c r="H59" t="s">
        <v>140</v>
      </c>
      <c r="I59" s="26"/>
      <c r="J59" s="4" t="s">
        <v>562</v>
      </c>
      <c r="K59" s="4"/>
      <c r="L59" s="4"/>
      <c r="M59" s="4"/>
      <c r="N59" s="21"/>
      <c r="O59"/>
    </row>
    <row r="60" spans="1:15" ht="51" x14ac:dyDescent="0.25">
      <c r="A60" s="2" t="s">
        <v>199</v>
      </c>
      <c r="B60" s="3" t="s">
        <v>57</v>
      </c>
      <c r="C60" s="2" t="s">
        <v>54</v>
      </c>
      <c r="D60" s="2">
        <v>1</v>
      </c>
      <c r="E60" s="2">
        <v>2</v>
      </c>
      <c r="F60" s="14">
        <v>2</v>
      </c>
      <c r="G60" s="24" t="str">
        <f t="shared" si="0"/>
        <v>*TEMP0040*</v>
      </c>
      <c r="H60" t="s">
        <v>140</v>
      </c>
      <c r="I60" s="26"/>
      <c r="J60" s="4"/>
      <c r="K60" s="4"/>
      <c r="L60" s="4"/>
      <c r="M60" s="4"/>
      <c r="N60" s="21"/>
      <c r="O60"/>
    </row>
    <row r="61" spans="1:15" ht="51" x14ac:dyDescent="0.25">
      <c r="A61" s="2" t="s">
        <v>200</v>
      </c>
      <c r="B61" s="3" t="s">
        <v>58</v>
      </c>
      <c r="C61" s="2" t="s">
        <v>54</v>
      </c>
      <c r="D61" s="2">
        <v>1</v>
      </c>
      <c r="E61" s="2">
        <v>2</v>
      </c>
      <c r="F61" s="14">
        <v>2</v>
      </c>
      <c r="G61" s="24" t="str">
        <f t="shared" si="0"/>
        <v>*TEMP0041*</v>
      </c>
      <c r="H61" t="s">
        <v>140</v>
      </c>
      <c r="I61" s="26"/>
      <c r="J61" s="4"/>
      <c r="K61" s="4"/>
      <c r="L61" s="4"/>
      <c r="M61" s="4"/>
      <c r="N61" s="21"/>
      <c r="O61"/>
    </row>
    <row r="62" spans="1:15" ht="51" x14ac:dyDescent="0.25">
      <c r="A62" s="2" t="s">
        <v>201</v>
      </c>
      <c r="B62" s="3" t="s">
        <v>59</v>
      </c>
      <c r="C62" s="2" t="s">
        <v>54</v>
      </c>
      <c r="D62" s="2">
        <v>0</v>
      </c>
      <c r="E62" s="2">
        <v>1</v>
      </c>
      <c r="F62" s="14">
        <v>1</v>
      </c>
      <c r="G62" s="24" t="str">
        <f t="shared" si="0"/>
        <v>*TEMP0042*</v>
      </c>
      <c r="H62" t="s">
        <v>140</v>
      </c>
      <c r="I62" s="26"/>
      <c r="J62" s="4" t="s">
        <v>563</v>
      </c>
      <c r="K62" s="4"/>
      <c r="L62" s="4"/>
      <c r="M62" s="4"/>
      <c r="N62" s="21"/>
      <c r="O62"/>
    </row>
    <row r="63" spans="1:15" ht="51" x14ac:dyDescent="0.25">
      <c r="A63" s="2" t="s">
        <v>202</v>
      </c>
      <c r="B63" s="3" t="s">
        <v>60</v>
      </c>
      <c r="C63" s="2" t="s">
        <v>54</v>
      </c>
      <c r="D63" s="2">
        <v>0</v>
      </c>
      <c r="E63" s="2">
        <v>1</v>
      </c>
      <c r="F63" s="14">
        <v>1</v>
      </c>
      <c r="G63" s="24" t="str">
        <f t="shared" si="0"/>
        <v>*TEMP0043*</v>
      </c>
      <c r="H63" t="s">
        <v>140</v>
      </c>
      <c r="I63" s="26"/>
      <c r="J63" s="4" t="s">
        <v>563</v>
      </c>
      <c r="K63" s="4"/>
      <c r="L63" s="4"/>
      <c r="M63" s="4"/>
      <c r="N63" s="21"/>
      <c r="O63"/>
    </row>
    <row r="64" spans="1:15" ht="51" x14ac:dyDescent="0.25">
      <c r="A64" s="2" t="s">
        <v>203</v>
      </c>
      <c r="B64" s="3" t="s">
        <v>61</v>
      </c>
      <c r="C64" s="2" t="s">
        <v>54</v>
      </c>
      <c r="D64" s="2">
        <v>1</v>
      </c>
      <c r="E64" s="2">
        <v>4</v>
      </c>
      <c r="F64" s="14">
        <v>4</v>
      </c>
      <c r="G64" s="24" t="str">
        <f t="shared" si="0"/>
        <v>*TEMP0044*</v>
      </c>
      <c r="H64" t="s">
        <v>140</v>
      </c>
      <c r="I64" s="26"/>
      <c r="J64" s="4" t="s">
        <v>563</v>
      </c>
      <c r="K64" s="4"/>
      <c r="L64" s="4"/>
      <c r="M64" s="4"/>
      <c r="N64" s="21"/>
      <c r="O64"/>
    </row>
    <row r="65" spans="1:15" ht="51" x14ac:dyDescent="0.25">
      <c r="A65" s="2" t="s">
        <v>204</v>
      </c>
      <c r="B65" s="3" t="s">
        <v>62</v>
      </c>
      <c r="C65" s="2" t="s">
        <v>54</v>
      </c>
      <c r="D65" s="2">
        <v>0</v>
      </c>
      <c r="E65" s="2">
        <v>1</v>
      </c>
      <c r="F65" s="14">
        <v>1</v>
      </c>
      <c r="G65" s="24" t="str">
        <f t="shared" si="0"/>
        <v>*TEMP0045*</v>
      </c>
      <c r="H65" t="s">
        <v>140</v>
      </c>
      <c r="I65" s="26"/>
      <c r="J65" s="4"/>
      <c r="K65" s="4"/>
      <c r="L65" s="4"/>
      <c r="M65" s="4"/>
      <c r="N65" s="21"/>
      <c r="O65"/>
    </row>
    <row r="66" spans="1:15" ht="51" x14ac:dyDescent="0.25">
      <c r="A66" s="2" t="s">
        <v>205</v>
      </c>
      <c r="B66" s="3" t="s">
        <v>63</v>
      </c>
      <c r="C66" s="2" t="s">
        <v>54</v>
      </c>
      <c r="D66" s="2">
        <v>0</v>
      </c>
      <c r="E66" s="2">
        <v>1</v>
      </c>
      <c r="F66" s="14">
        <v>1</v>
      </c>
      <c r="G66" s="24" t="str">
        <f t="shared" ref="G66:G129" si="1">"*"&amp;A66&amp;"*"</f>
        <v>*TEMP0046*</v>
      </c>
      <c r="H66" t="s">
        <v>140</v>
      </c>
      <c r="I66" s="26"/>
      <c r="J66" s="4"/>
      <c r="K66" s="4"/>
      <c r="L66" s="4"/>
      <c r="M66" s="4"/>
      <c r="N66" s="21"/>
      <c r="O66"/>
    </row>
    <row r="67" spans="1:15" ht="51" x14ac:dyDescent="0.25">
      <c r="A67" s="2" t="s">
        <v>206</v>
      </c>
      <c r="B67" s="3" t="s">
        <v>64</v>
      </c>
      <c r="C67" s="2" t="s">
        <v>54</v>
      </c>
      <c r="D67" s="2">
        <v>0</v>
      </c>
      <c r="E67" s="2">
        <v>1</v>
      </c>
      <c r="F67" s="14">
        <v>1</v>
      </c>
      <c r="G67" s="24" t="str">
        <f t="shared" si="1"/>
        <v>*TEMP0047*</v>
      </c>
      <c r="H67" t="s">
        <v>140</v>
      </c>
      <c r="I67" s="26"/>
      <c r="J67" s="4"/>
      <c r="K67" s="4"/>
      <c r="L67" s="4"/>
      <c r="M67" s="4"/>
      <c r="N67" s="21"/>
      <c r="O67"/>
    </row>
    <row r="68" spans="1:15" ht="51" x14ac:dyDescent="0.25">
      <c r="A68" s="2" t="s">
        <v>207</v>
      </c>
      <c r="B68" s="3" t="s">
        <v>65</v>
      </c>
      <c r="C68" s="2" t="s">
        <v>54</v>
      </c>
      <c r="D68" s="2">
        <v>0</v>
      </c>
      <c r="E68" s="2">
        <v>1</v>
      </c>
      <c r="F68" s="14">
        <v>1</v>
      </c>
      <c r="G68" s="24" t="str">
        <f t="shared" si="1"/>
        <v>*TEMP0048*</v>
      </c>
      <c r="H68" t="s">
        <v>140</v>
      </c>
      <c r="I68" s="26"/>
      <c r="J68" s="4"/>
      <c r="K68" s="4"/>
      <c r="L68" s="4"/>
      <c r="M68" s="4"/>
      <c r="N68" s="21"/>
      <c r="O68"/>
    </row>
    <row r="69" spans="1:15" ht="51" x14ac:dyDescent="0.25">
      <c r="A69" s="2" t="s">
        <v>208</v>
      </c>
      <c r="B69" s="3" t="s">
        <v>66</v>
      </c>
      <c r="C69" s="2" t="s">
        <v>54</v>
      </c>
      <c r="D69" s="2">
        <v>0</v>
      </c>
      <c r="E69" s="2">
        <v>1</v>
      </c>
      <c r="F69" s="14">
        <v>1</v>
      </c>
      <c r="G69" s="24" t="str">
        <f t="shared" si="1"/>
        <v>*TEMP0049*</v>
      </c>
      <c r="H69" t="s">
        <v>140</v>
      </c>
      <c r="I69" s="26"/>
      <c r="J69" s="4"/>
      <c r="K69" s="4"/>
      <c r="L69" s="4"/>
      <c r="M69" s="4"/>
      <c r="N69" s="21"/>
      <c r="O69"/>
    </row>
    <row r="70" spans="1:15" ht="51" x14ac:dyDescent="0.25">
      <c r="A70" s="2" t="s">
        <v>209</v>
      </c>
      <c r="B70" s="3" t="s">
        <v>67</v>
      </c>
      <c r="C70" s="2" t="s">
        <v>54</v>
      </c>
      <c r="D70" s="2">
        <v>1</v>
      </c>
      <c r="E70" s="2">
        <v>2</v>
      </c>
      <c r="F70" s="14">
        <v>2</v>
      </c>
      <c r="G70" s="24" t="str">
        <f t="shared" si="1"/>
        <v>*TEMP0050*</v>
      </c>
      <c r="H70" t="s">
        <v>140</v>
      </c>
      <c r="I70" s="26"/>
      <c r="J70" s="4"/>
      <c r="K70" s="4"/>
      <c r="L70" s="4"/>
      <c r="M70" s="4"/>
      <c r="N70" s="21"/>
      <c r="O70"/>
    </row>
    <row r="71" spans="1:15" ht="51" x14ac:dyDescent="0.25">
      <c r="A71" s="2" t="s">
        <v>210</v>
      </c>
      <c r="B71" s="3" t="s">
        <v>68</v>
      </c>
      <c r="C71" s="2" t="s">
        <v>54</v>
      </c>
      <c r="D71" s="2">
        <v>0</v>
      </c>
      <c r="E71" s="2">
        <v>1</v>
      </c>
      <c r="F71" s="14">
        <v>1</v>
      </c>
      <c r="G71" s="24" t="str">
        <f t="shared" si="1"/>
        <v>*TEMP0051*</v>
      </c>
      <c r="H71" t="s">
        <v>140</v>
      </c>
      <c r="I71" s="26"/>
      <c r="J71" s="4"/>
      <c r="K71" s="4"/>
      <c r="L71" s="4"/>
      <c r="M71" s="4"/>
      <c r="N71" s="21"/>
      <c r="O71"/>
    </row>
    <row r="72" spans="1:15" ht="51" x14ac:dyDescent="0.25">
      <c r="A72" s="30" t="s">
        <v>281</v>
      </c>
      <c r="B72" s="31" t="s">
        <v>302</v>
      </c>
      <c r="C72" s="30" t="s">
        <v>70</v>
      </c>
      <c r="D72" s="2">
        <v>2</v>
      </c>
      <c r="E72" s="2">
        <v>10</v>
      </c>
      <c r="F72" s="14">
        <v>0</v>
      </c>
      <c r="G72" s="24" t="str">
        <f t="shared" si="1"/>
        <v>*K100480*</v>
      </c>
      <c r="H72" t="s">
        <v>140</v>
      </c>
      <c r="I72" s="26"/>
      <c r="J72" s="4"/>
      <c r="K72" s="4"/>
      <c r="L72" s="4"/>
      <c r="M72" s="4"/>
      <c r="N72" s="21"/>
      <c r="O72"/>
    </row>
    <row r="73" spans="1:15" ht="51" x14ac:dyDescent="0.25">
      <c r="A73" s="2" t="s">
        <v>282</v>
      </c>
      <c r="B73" s="3" t="s">
        <v>303</v>
      </c>
      <c r="C73" s="2" t="s">
        <v>70</v>
      </c>
      <c r="D73" s="2">
        <v>2</v>
      </c>
      <c r="E73" s="2">
        <v>4</v>
      </c>
      <c r="F73" s="14">
        <v>3</v>
      </c>
      <c r="G73" s="24" t="str">
        <f t="shared" si="1"/>
        <v>*K25066*</v>
      </c>
      <c r="H73" t="s">
        <v>140</v>
      </c>
      <c r="I73" s="26"/>
      <c r="J73" s="4"/>
      <c r="K73" s="4"/>
      <c r="L73" s="4"/>
      <c r="M73" s="4"/>
      <c r="N73" s="21"/>
      <c r="O73"/>
    </row>
    <row r="74" spans="1:15" ht="51" x14ac:dyDescent="0.25">
      <c r="A74" s="2" t="s">
        <v>211</v>
      </c>
      <c r="B74" s="3" t="s">
        <v>69</v>
      </c>
      <c r="C74" s="2" t="s">
        <v>70</v>
      </c>
      <c r="D74" s="2">
        <v>2</v>
      </c>
      <c r="E74" s="2">
        <v>4</v>
      </c>
      <c r="F74" s="14">
        <v>5</v>
      </c>
      <c r="G74" s="24" t="str">
        <f t="shared" si="1"/>
        <v>*TEMP0052*</v>
      </c>
      <c r="H74" t="s">
        <v>140</v>
      </c>
      <c r="I74" s="26"/>
      <c r="J74" s="4" t="s">
        <v>558</v>
      </c>
      <c r="K74" s="4"/>
      <c r="L74" s="4"/>
      <c r="M74" s="4"/>
      <c r="N74" s="21"/>
      <c r="O74"/>
    </row>
    <row r="75" spans="1:15" ht="51" x14ac:dyDescent="0.25">
      <c r="A75" s="2" t="s">
        <v>212</v>
      </c>
      <c r="B75" s="6" t="s">
        <v>71</v>
      </c>
      <c r="C75" s="2" t="s">
        <v>70</v>
      </c>
      <c r="D75" s="2">
        <v>1</v>
      </c>
      <c r="E75" s="2">
        <v>2</v>
      </c>
      <c r="F75" s="14">
        <v>1</v>
      </c>
      <c r="G75" s="24" t="str">
        <f t="shared" si="1"/>
        <v>*TEMP0053*</v>
      </c>
      <c r="H75" t="s">
        <v>140</v>
      </c>
      <c r="I75" s="26"/>
      <c r="J75" s="4" t="s">
        <v>558</v>
      </c>
      <c r="K75" s="4"/>
      <c r="L75" s="4"/>
      <c r="M75" s="4"/>
      <c r="N75" s="21"/>
      <c r="O75"/>
    </row>
    <row r="76" spans="1:15" ht="51" x14ac:dyDescent="0.25">
      <c r="A76" s="2" t="s">
        <v>213</v>
      </c>
      <c r="B76" s="3" t="s">
        <v>72</v>
      </c>
      <c r="C76" s="2" t="s">
        <v>70</v>
      </c>
      <c r="D76" s="2">
        <v>2</v>
      </c>
      <c r="E76" s="2">
        <v>4</v>
      </c>
      <c r="F76" s="14">
        <v>4</v>
      </c>
      <c r="G76" s="24" t="str">
        <f t="shared" si="1"/>
        <v>*TEMP0054*</v>
      </c>
      <c r="H76" t="s">
        <v>140</v>
      </c>
      <c r="I76" s="26"/>
      <c r="J76" s="4"/>
      <c r="K76" s="4"/>
      <c r="L76" s="4"/>
      <c r="M76" s="4"/>
      <c r="N76" s="21"/>
      <c r="O76"/>
    </row>
    <row r="77" spans="1:15" ht="51" x14ac:dyDescent="0.25">
      <c r="A77" s="2" t="s">
        <v>214</v>
      </c>
      <c r="B77" s="3" t="s">
        <v>73</v>
      </c>
      <c r="C77" s="2" t="s">
        <v>70</v>
      </c>
      <c r="D77" s="2">
        <v>2</v>
      </c>
      <c r="E77" s="2">
        <v>4</v>
      </c>
      <c r="F77" s="14">
        <v>4</v>
      </c>
      <c r="G77" s="24" t="str">
        <f t="shared" si="1"/>
        <v>*TEMP0055*</v>
      </c>
      <c r="H77" t="s">
        <v>140</v>
      </c>
      <c r="I77" s="26"/>
      <c r="J77" s="4"/>
      <c r="K77" s="4"/>
      <c r="L77" s="4"/>
      <c r="M77" s="4"/>
      <c r="N77" s="21"/>
      <c r="O77"/>
    </row>
    <row r="78" spans="1:15" ht="51" x14ac:dyDescent="0.25">
      <c r="A78" s="2" t="s">
        <v>283</v>
      </c>
      <c r="B78" s="3" t="s">
        <v>304</v>
      </c>
      <c r="C78" s="2" t="s">
        <v>70</v>
      </c>
      <c r="D78" s="2">
        <v>2</v>
      </c>
      <c r="E78" s="2">
        <v>6</v>
      </c>
      <c r="F78" s="14">
        <v>6</v>
      </c>
      <c r="G78" s="24" t="str">
        <f t="shared" si="1"/>
        <v>*K102352*</v>
      </c>
      <c r="H78" t="s">
        <v>140</v>
      </c>
      <c r="I78" s="26"/>
      <c r="J78" s="4"/>
      <c r="K78" s="4"/>
      <c r="L78" s="4"/>
      <c r="M78" s="4"/>
      <c r="N78" s="21"/>
      <c r="O78"/>
    </row>
    <row r="79" spans="1:15" ht="51" x14ac:dyDescent="0.25">
      <c r="A79" s="2" t="s">
        <v>215</v>
      </c>
      <c r="B79" s="3" t="s">
        <v>74</v>
      </c>
      <c r="C79" s="2" t="s">
        <v>70</v>
      </c>
      <c r="D79" s="2">
        <v>2</v>
      </c>
      <c r="E79" s="2">
        <v>4</v>
      </c>
      <c r="F79" s="14">
        <v>5</v>
      </c>
      <c r="G79" s="24" t="str">
        <f t="shared" si="1"/>
        <v>*TEMP0056*</v>
      </c>
      <c r="H79" t="s">
        <v>140</v>
      </c>
      <c r="I79" s="26"/>
      <c r="J79" s="4" t="s">
        <v>558</v>
      </c>
      <c r="K79" s="4"/>
      <c r="L79" s="4"/>
      <c r="M79" s="4"/>
      <c r="N79" s="21"/>
      <c r="O79"/>
    </row>
    <row r="80" spans="1:15" ht="51" x14ac:dyDescent="0.25">
      <c r="A80" s="2" t="s">
        <v>216</v>
      </c>
      <c r="B80" s="3" t="s">
        <v>75</v>
      </c>
      <c r="C80" s="2" t="s">
        <v>70</v>
      </c>
      <c r="D80" s="2">
        <v>1</v>
      </c>
      <c r="E80" s="2">
        <v>2</v>
      </c>
      <c r="F80" s="14">
        <v>3</v>
      </c>
      <c r="G80" s="24" t="str">
        <f t="shared" si="1"/>
        <v>*TEMP0057*</v>
      </c>
      <c r="H80" t="s">
        <v>140</v>
      </c>
      <c r="I80" s="26"/>
      <c r="J80" s="4"/>
      <c r="K80" s="4"/>
      <c r="L80" s="4"/>
      <c r="M80" s="4"/>
      <c r="N80" s="21"/>
      <c r="O80"/>
    </row>
    <row r="81" spans="1:15" ht="51" x14ac:dyDescent="0.25">
      <c r="A81" s="2" t="s">
        <v>217</v>
      </c>
      <c r="B81" s="7" t="s">
        <v>76</v>
      </c>
      <c r="C81" s="2" t="s">
        <v>70</v>
      </c>
      <c r="D81" s="2">
        <v>1</v>
      </c>
      <c r="E81" s="2">
        <v>2</v>
      </c>
      <c r="F81" s="14">
        <v>2</v>
      </c>
      <c r="G81" s="24" t="str">
        <f t="shared" si="1"/>
        <v>*TEMP0058*</v>
      </c>
      <c r="H81" t="s">
        <v>140</v>
      </c>
      <c r="I81" s="26"/>
      <c r="J81" s="4"/>
      <c r="K81" s="4"/>
      <c r="L81" s="4"/>
      <c r="M81" s="4"/>
      <c r="N81" s="21"/>
      <c r="O81"/>
    </row>
    <row r="82" spans="1:15" ht="51" x14ac:dyDescent="0.25">
      <c r="A82" s="2" t="s">
        <v>218</v>
      </c>
      <c r="B82" s="7" t="s">
        <v>77</v>
      </c>
      <c r="C82" s="2" t="s">
        <v>70</v>
      </c>
      <c r="D82" s="2">
        <v>1</v>
      </c>
      <c r="E82" s="2">
        <v>2</v>
      </c>
      <c r="F82" s="14">
        <v>1</v>
      </c>
      <c r="G82" s="24" t="str">
        <f t="shared" si="1"/>
        <v>*TEMP0059*</v>
      </c>
      <c r="H82" t="s">
        <v>140</v>
      </c>
      <c r="I82" s="26"/>
      <c r="J82" s="4" t="s">
        <v>558</v>
      </c>
      <c r="K82" s="4"/>
      <c r="L82" s="4"/>
      <c r="M82" s="4"/>
      <c r="N82" s="21"/>
      <c r="O82"/>
    </row>
    <row r="83" spans="1:15" ht="51" x14ac:dyDescent="0.25">
      <c r="A83" s="2" t="s">
        <v>219</v>
      </c>
      <c r="B83" s="7" t="s">
        <v>78</v>
      </c>
      <c r="C83" s="2" t="s">
        <v>70</v>
      </c>
      <c r="D83" s="2">
        <v>1</v>
      </c>
      <c r="E83" s="2">
        <v>2</v>
      </c>
      <c r="F83" s="14">
        <v>2</v>
      </c>
      <c r="G83" s="24" t="str">
        <f t="shared" si="1"/>
        <v>*TEMP0060*</v>
      </c>
      <c r="H83" t="s">
        <v>140</v>
      </c>
      <c r="I83" s="26"/>
      <c r="J83" s="4" t="s">
        <v>558</v>
      </c>
      <c r="K83" s="4"/>
      <c r="L83" s="4"/>
      <c r="M83" s="4"/>
      <c r="N83" s="21"/>
      <c r="O83"/>
    </row>
    <row r="84" spans="1:15" ht="51" x14ac:dyDescent="0.25">
      <c r="A84" s="4" t="s">
        <v>284</v>
      </c>
      <c r="B84" s="8" t="s">
        <v>305</v>
      </c>
      <c r="C84" s="2" t="s">
        <v>70</v>
      </c>
      <c r="D84" s="4">
        <v>1</v>
      </c>
      <c r="E84" s="4">
        <v>4</v>
      </c>
      <c r="F84" s="15">
        <v>2</v>
      </c>
      <c r="G84" s="24" t="str">
        <f t="shared" si="1"/>
        <v>*K100164*</v>
      </c>
      <c r="H84" t="s">
        <v>140</v>
      </c>
      <c r="I84" s="26"/>
      <c r="J84" s="4"/>
      <c r="K84" s="4"/>
      <c r="L84" s="4"/>
      <c r="M84" s="4"/>
      <c r="N84" s="21"/>
      <c r="O84"/>
    </row>
    <row r="85" spans="1:15" ht="51" x14ac:dyDescent="0.25">
      <c r="A85" s="4" t="s">
        <v>220</v>
      </c>
      <c r="B85" s="8" t="s">
        <v>79</v>
      </c>
      <c r="C85" s="2" t="s">
        <v>70</v>
      </c>
      <c r="D85" s="4">
        <v>1</v>
      </c>
      <c r="E85" s="4">
        <v>4</v>
      </c>
      <c r="F85" s="15">
        <v>2</v>
      </c>
      <c r="G85" s="24" t="str">
        <f t="shared" si="1"/>
        <v>*TEMP0061*</v>
      </c>
      <c r="H85" t="s">
        <v>140</v>
      </c>
      <c r="I85" s="26"/>
      <c r="J85" s="4"/>
      <c r="K85" s="4"/>
      <c r="L85" s="4"/>
      <c r="M85" s="4"/>
      <c r="N85" s="21"/>
      <c r="O85"/>
    </row>
    <row r="86" spans="1:15" ht="51" x14ac:dyDescent="0.25">
      <c r="A86" s="4" t="s">
        <v>221</v>
      </c>
      <c r="B86" s="8" t="s">
        <v>80</v>
      </c>
      <c r="C86" s="2" t="s">
        <v>70</v>
      </c>
      <c r="D86" s="4">
        <v>2</v>
      </c>
      <c r="E86" s="4">
        <v>4</v>
      </c>
      <c r="F86" s="15">
        <v>2</v>
      </c>
      <c r="G86" s="24" t="str">
        <f t="shared" si="1"/>
        <v>*TEMP0062*</v>
      </c>
      <c r="H86" t="s">
        <v>140</v>
      </c>
      <c r="I86" s="26"/>
      <c r="J86" s="4"/>
      <c r="K86" s="4"/>
      <c r="L86" s="4"/>
      <c r="M86" s="4"/>
      <c r="N86" s="21"/>
      <c r="O86"/>
    </row>
    <row r="87" spans="1:15" ht="51" x14ac:dyDescent="0.25">
      <c r="A87" s="4" t="s">
        <v>222</v>
      </c>
      <c r="B87" s="8" t="s">
        <v>81</v>
      </c>
      <c r="C87" s="2" t="s">
        <v>70</v>
      </c>
      <c r="D87" s="4">
        <v>2</v>
      </c>
      <c r="E87" s="4">
        <v>4</v>
      </c>
      <c r="F87" s="15">
        <v>3</v>
      </c>
      <c r="G87" s="24" t="str">
        <f t="shared" si="1"/>
        <v>*TEMP0063*</v>
      </c>
      <c r="H87" t="s">
        <v>140</v>
      </c>
      <c r="I87" s="26"/>
      <c r="J87" s="4" t="s">
        <v>256</v>
      </c>
      <c r="K87" s="4"/>
      <c r="L87" s="4"/>
      <c r="M87" s="4"/>
      <c r="N87" s="21"/>
      <c r="O87"/>
    </row>
    <row r="88" spans="1:15" ht="51" x14ac:dyDescent="0.25">
      <c r="A88" s="4" t="s">
        <v>223</v>
      </c>
      <c r="B88" s="8" t="s">
        <v>82</v>
      </c>
      <c r="C88" s="2" t="s">
        <v>70</v>
      </c>
      <c r="D88" s="4">
        <v>1</v>
      </c>
      <c r="E88" s="4">
        <v>2</v>
      </c>
      <c r="F88" s="15">
        <v>1</v>
      </c>
      <c r="G88" s="24" t="str">
        <f t="shared" si="1"/>
        <v>*TEMP0064*</v>
      </c>
      <c r="H88" t="s">
        <v>140</v>
      </c>
      <c r="I88" s="26"/>
      <c r="J88" s="4"/>
      <c r="K88" s="4"/>
      <c r="L88" s="4"/>
      <c r="M88" s="4"/>
      <c r="N88" s="21"/>
      <c r="O88"/>
    </row>
    <row r="89" spans="1:15" ht="51" x14ac:dyDescent="0.25">
      <c r="A89" s="4" t="s">
        <v>224</v>
      </c>
      <c r="B89" s="8" t="s">
        <v>83</v>
      </c>
      <c r="C89" s="2" t="s">
        <v>70</v>
      </c>
      <c r="D89" s="4">
        <v>1</v>
      </c>
      <c r="E89" s="4">
        <v>2</v>
      </c>
      <c r="F89" s="15">
        <v>1</v>
      </c>
      <c r="G89" s="24" t="str">
        <f t="shared" si="1"/>
        <v>*TEMP0065*</v>
      </c>
      <c r="H89" t="s">
        <v>140</v>
      </c>
      <c r="I89" s="26"/>
      <c r="J89" s="4"/>
      <c r="K89" s="4"/>
      <c r="L89" s="4"/>
      <c r="M89" s="4"/>
      <c r="N89" s="21"/>
      <c r="O89"/>
    </row>
    <row r="90" spans="1:15" ht="51" x14ac:dyDescent="0.25">
      <c r="A90" s="32" t="s">
        <v>307</v>
      </c>
      <c r="B90" s="33" t="s">
        <v>366</v>
      </c>
      <c r="C90" s="32" t="s">
        <v>483</v>
      </c>
      <c r="D90" s="4">
        <v>2</v>
      </c>
      <c r="E90" s="4">
        <v>6</v>
      </c>
      <c r="F90" s="15">
        <v>4</v>
      </c>
      <c r="G90" s="24" t="str">
        <f t="shared" si="1"/>
        <v>*K100171*</v>
      </c>
      <c r="H90" t="s">
        <v>140</v>
      </c>
      <c r="I90" s="26"/>
      <c r="J90" s="4"/>
      <c r="K90" s="4"/>
      <c r="L90" s="4"/>
      <c r="M90" s="4"/>
      <c r="N90" s="21"/>
      <c r="O90"/>
    </row>
    <row r="91" spans="1:15" ht="51" x14ac:dyDescent="0.25">
      <c r="A91" s="4" t="s">
        <v>308</v>
      </c>
      <c r="B91" s="8" t="s">
        <v>367</v>
      </c>
      <c r="C91" s="4" t="s">
        <v>483</v>
      </c>
      <c r="D91" s="4">
        <v>2</v>
      </c>
      <c r="E91" s="4">
        <v>8</v>
      </c>
      <c r="F91" s="15">
        <v>8</v>
      </c>
      <c r="G91" s="24" t="str">
        <f t="shared" si="1"/>
        <v>*K100172*</v>
      </c>
      <c r="H91" t="s">
        <v>140</v>
      </c>
      <c r="I91" s="26"/>
      <c r="J91" s="4"/>
      <c r="K91" s="4"/>
      <c r="L91" s="4"/>
      <c r="M91" s="4"/>
      <c r="N91" s="21"/>
      <c r="O91"/>
    </row>
    <row r="92" spans="1:15" ht="51" x14ac:dyDescent="0.25">
      <c r="A92" s="4" t="s">
        <v>309</v>
      </c>
      <c r="B92" s="8" t="s">
        <v>368</v>
      </c>
      <c r="C92" s="4" t="s">
        <v>483</v>
      </c>
      <c r="D92" s="4">
        <v>2</v>
      </c>
      <c r="E92" s="4">
        <v>6</v>
      </c>
      <c r="F92" s="15">
        <v>6</v>
      </c>
      <c r="G92" s="24" t="str">
        <f t="shared" si="1"/>
        <v>*K100173*</v>
      </c>
      <c r="H92" t="s">
        <v>140</v>
      </c>
      <c r="I92" s="26"/>
      <c r="J92" s="4"/>
      <c r="K92" s="4"/>
      <c r="L92" s="4"/>
      <c r="M92" s="4"/>
      <c r="N92" s="21"/>
      <c r="O92"/>
    </row>
    <row r="93" spans="1:15" ht="51" x14ac:dyDescent="0.25">
      <c r="A93" s="4" t="s">
        <v>310</v>
      </c>
      <c r="B93" s="8" t="s">
        <v>369</v>
      </c>
      <c r="C93" s="4" t="s">
        <v>483</v>
      </c>
      <c r="D93" s="4">
        <v>2</v>
      </c>
      <c r="E93" s="4">
        <v>6</v>
      </c>
      <c r="F93" s="15">
        <v>1</v>
      </c>
      <c r="G93" s="24" t="str">
        <f t="shared" si="1"/>
        <v>*K100174*</v>
      </c>
      <c r="H93" t="s">
        <v>140</v>
      </c>
      <c r="I93" s="26"/>
      <c r="J93" s="4"/>
      <c r="K93" s="4"/>
      <c r="L93" s="4"/>
      <c r="M93" s="4"/>
      <c r="N93" s="21"/>
      <c r="O93"/>
    </row>
    <row r="94" spans="1:15" ht="51" x14ac:dyDescent="0.25">
      <c r="A94" s="4" t="s">
        <v>311</v>
      </c>
      <c r="B94" s="8" t="s">
        <v>370</v>
      </c>
      <c r="C94" s="4" t="s">
        <v>483</v>
      </c>
      <c r="D94" s="4">
        <v>2</v>
      </c>
      <c r="E94" s="4">
        <v>6</v>
      </c>
      <c r="F94" s="15">
        <v>3</v>
      </c>
      <c r="G94" s="24" t="str">
        <f t="shared" si="1"/>
        <v>*K100175*</v>
      </c>
      <c r="H94" t="s">
        <v>140</v>
      </c>
      <c r="I94" s="26"/>
      <c r="J94" s="4"/>
      <c r="K94" s="4"/>
      <c r="L94" s="4"/>
      <c r="M94" s="4"/>
      <c r="N94" s="21"/>
      <c r="O94"/>
    </row>
    <row r="95" spans="1:15" ht="51" x14ac:dyDescent="0.25">
      <c r="A95" s="4" t="s">
        <v>312</v>
      </c>
      <c r="B95" s="8" t="s">
        <v>371</v>
      </c>
      <c r="C95" s="4" t="s">
        <v>483</v>
      </c>
      <c r="D95" s="4">
        <v>1</v>
      </c>
      <c r="E95" s="4">
        <v>2</v>
      </c>
      <c r="F95" s="15">
        <v>2</v>
      </c>
      <c r="G95" s="24" t="str">
        <f t="shared" si="1"/>
        <v>*K100580*</v>
      </c>
      <c r="H95" t="s">
        <v>140</v>
      </c>
      <c r="I95" s="26"/>
      <c r="J95" s="4"/>
      <c r="K95" s="4"/>
      <c r="L95" s="4"/>
      <c r="M95" s="4"/>
      <c r="N95" s="21"/>
      <c r="O95"/>
    </row>
    <row r="96" spans="1:15" ht="51" x14ac:dyDescent="0.25">
      <c r="A96" s="4" t="s">
        <v>313</v>
      </c>
      <c r="B96" s="8" t="s">
        <v>372</v>
      </c>
      <c r="C96" s="4" t="s">
        <v>483</v>
      </c>
      <c r="D96" s="4">
        <v>2</v>
      </c>
      <c r="E96" s="4">
        <v>6</v>
      </c>
      <c r="F96" s="15">
        <v>6</v>
      </c>
      <c r="G96" s="24" t="str">
        <f t="shared" si="1"/>
        <v>*K101995*</v>
      </c>
      <c r="H96" t="s">
        <v>140</v>
      </c>
      <c r="I96" s="26"/>
      <c r="J96" s="4"/>
      <c r="K96" s="4"/>
      <c r="L96" s="4"/>
      <c r="M96" s="4"/>
      <c r="N96" s="21"/>
      <c r="O96"/>
    </row>
    <row r="97" spans="1:15" ht="51" x14ac:dyDescent="0.25">
      <c r="A97" s="4" t="s">
        <v>314</v>
      </c>
      <c r="B97" s="8" t="s">
        <v>373</v>
      </c>
      <c r="C97" s="4" t="s">
        <v>483</v>
      </c>
      <c r="D97" s="4">
        <v>8</v>
      </c>
      <c r="E97" s="4">
        <v>20</v>
      </c>
      <c r="F97" s="15">
        <v>11</v>
      </c>
      <c r="G97" s="24" t="str">
        <f t="shared" si="1"/>
        <v>*K102045*</v>
      </c>
      <c r="H97" t="s">
        <v>140</v>
      </c>
      <c r="I97" s="26"/>
      <c r="J97" s="4" t="s">
        <v>564</v>
      </c>
      <c r="K97" s="4"/>
      <c r="L97" s="4"/>
      <c r="M97" s="4"/>
      <c r="N97" s="21"/>
      <c r="O97"/>
    </row>
    <row r="98" spans="1:15" ht="51" x14ac:dyDescent="0.25">
      <c r="A98" s="4" t="s">
        <v>315</v>
      </c>
      <c r="B98" s="8" t="s">
        <v>374</v>
      </c>
      <c r="C98" s="4" t="s">
        <v>483</v>
      </c>
      <c r="D98" s="4">
        <v>8</v>
      </c>
      <c r="E98" s="4">
        <v>20</v>
      </c>
      <c r="F98" s="15">
        <v>17</v>
      </c>
      <c r="G98" s="24" t="str">
        <f t="shared" si="1"/>
        <v>*K102046*</v>
      </c>
      <c r="H98" t="s">
        <v>140</v>
      </c>
      <c r="I98" s="26"/>
      <c r="J98" s="4" t="s">
        <v>564</v>
      </c>
      <c r="K98" s="4"/>
      <c r="L98" s="4"/>
      <c r="M98" s="4"/>
      <c r="N98" s="21"/>
      <c r="O98"/>
    </row>
    <row r="99" spans="1:15" ht="51" x14ac:dyDescent="0.25">
      <c r="A99" s="4" t="s">
        <v>316</v>
      </c>
      <c r="B99" s="8" t="s">
        <v>375</v>
      </c>
      <c r="C99" s="4" t="s">
        <v>483</v>
      </c>
      <c r="D99" s="4">
        <v>8</v>
      </c>
      <c r="E99" s="4">
        <v>20</v>
      </c>
      <c r="F99" s="15">
        <v>32</v>
      </c>
      <c r="G99" s="24" t="str">
        <f t="shared" si="1"/>
        <v>*K102048*</v>
      </c>
      <c r="H99" t="s">
        <v>140</v>
      </c>
      <c r="I99" s="26"/>
      <c r="J99" s="4" t="s">
        <v>564</v>
      </c>
      <c r="K99" s="4"/>
      <c r="L99" s="4"/>
      <c r="M99" s="4"/>
      <c r="N99" s="21"/>
      <c r="O99"/>
    </row>
    <row r="100" spans="1:15" ht="51" x14ac:dyDescent="0.25">
      <c r="A100" s="4" t="s">
        <v>317</v>
      </c>
      <c r="B100" s="8" t="s">
        <v>376</v>
      </c>
      <c r="C100" s="4" t="s">
        <v>483</v>
      </c>
      <c r="D100" s="4">
        <v>8</v>
      </c>
      <c r="E100" s="4">
        <v>20</v>
      </c>
      <c r="F100" s="15">
        <v>18</v>
      </c>
      <c r="G100" s="24" t="str">
        <f t="shared" si="1"/>
        <v>*K102049*</v>
      </c>
      <c r="H100" t="s">
        <v>140</v>
      </c>
      <c r="I100" s="26"/>
      <c r="J100" s="4" t="s">
        <v>564</v>
      </c>
      <c r="K100" s="4"/>
      <c r="L100" s="4"/>
      <c r="M100" s="4"/>
      <c r="N100" s="21"/>
      <c r="O100"/>
    </row>
    <row r="101" spans="1:15" ht="51" x14ac:dyDescent="0.25">
      <c r="A101" s="4" t="s">
        <v>318</v>
      </c>
      <c r="B101" s="8" t="s">
        <v>377</v>
      </c>
      <c r="C101" s="4" t="s">
        <v>483</v>
      </c>
      <c r="D101" s="4">
        <v>8</v>
      </c>
      <c r="E101" s="4">
        <v>20</v>
      </c>
      <c r="F101" s="15">
        <v>30</v>
      </c>
      <c r="G101" s="24" t="str">
        <f t="shared" si="1"/>
        <v>*K102050*</v>
      </c>
      <c r="H101" t="s">
        <v>140</v>
      </c>
      <c r="I101" s="26"/>
      <c r="J101" s="4" t="s">
        <v>564</v>
      </c>
      <c r="K101" s="4"/>
      <c r="L101" s="4"/>
      <c r="M101" s="4"/>
      <c r="N101" s="21"/>
      <c r="O101"/>
    </row>
    <row r="102" spans="1:15" ht="51" x14ac:dyDescent="0.25">
      <c r="A102" s="4" t="s">
        <v>319</v>
      </c>
      <c r="B102" s="8" t="s">
        <v>378</v>
      </c>
      <c r="C102" s="4" t="s">
        <v>483</v>
      </c>
      <c r="D102" s="4">
        <v>1</v>
      </c>
      <c r="E102" s="4">
        <v>3</v>
      </c>
      <c r="F102" s="15">
        <v>1</v>
      </c>
      <c r="G102" s="24" t="str">
        <f t="shared" si="1"/>
        <v>*K102289*</v>
      </c>
      <c r="H102" t="s">
        <v>140</v>
      </c>
      <c r="I102" s="26"/>
      <c r="J102" s="4"/>
      <c r="K102" s="4"/>
      <c r="L102" s="4"/>
      <c r="M102" s="4"/>
      <c r="N102" s="21"/>
      <c r="O102"/>
    </row>
    <row r="103" spans="1:15" ht="51" x14ac:dyDescent="0.25">
      <c r="A103" s="4" t="s">
        <v>320</v>
      </c>
      <c r="B103" s="8" t="s">
        <v>379</v>
      </c>
      <c r="C103" s="4" t="s">
        <v>483</v>
      </c>
      <c r="D103" s="4">
        <v>1</v>
      </c>
      <c r="E103" s="4">
        <v>4</v>
      </c>
      <c r="F103" s="15">
        <v>3</v>
      </c>
      <c r="G103" s="24" t="str">
        <f t="shared" si="1"/>
        <v>*K102366*</v>
      </c>
      <c r="H103" t="s">
        <v>140</v>
      </c>
      <c r="I103" s="26"/>
      <c r="J103" s="4" t="s">
        <v>558</v>
      </c>
      <c r="K103" s="4"/>
      <c r="L103" s="4"/>
      <c r="M103" s="4"/>
      <c r="N103" s="21"/>
      <c r="O103"/>
    </row>
    <row r="104" spans="1:15" ht="51" x14ac:dyDescent="0.25">
      <c r="A104" s="4" t="s">
        <v>321</v>
      </c>
      <c r="B104" s="8" t="s">
        <v>380</v>
      </c>
      <c r="C104" s="4" t="s">
        <v>483</v>
      </c>
      <c r="D104" s="4">
        <v>1</v>
      </c>
      <c r="E104" s="4">
        <v>4</v>
      </c>
      <c r="F104" s="15">
        <v>2</v>
      </c>
      <c r="G104" s="24" t="str">
        <f t="shared" si="1"/>
        <v>*K102384*</v>
      </c>
      <c r="H104" t="s">
        <v>140</v>
      </c>
      <c r="I104" s="26"/>
      <c r="J104" s="4" t="s">
        <v>259</v>
      </c>
      <c r="K104" s="4"/>
      <c r="L104" s="4"/>
      <c r="M104" s="4"/>
      <c r="N104" s="21"/>
      <c r="O104"/>
    </row>
    <row r="105" spans="1:15" ht="51" x14ac:dyDescent="0.25">
      <c r="A105" s="4" t="s">
        <v>322</v>
      </c>
      <c r="B105" s="8" t="s">
        <v>381</v>
      </c>
      <c r="C105" s="4" t="s">
        <v>483</v>
      </c>
      <c r="D105" s="4">
        <v>4</v>
      </c>
      <c r="E105" s="4">
        <v>8</v>
      </c>
      <c r="F105" s="15">
        <v>3</v>
      </c>
      <c r="G105" s="24" t="str">
        <f t="shared" si="1"/>
        <v>*K102388*</v>
      </c>
      <c r="H105" t="s">
        <v>140</v>
      </c>
      <c r="I105" s="26"/>
      <c r="J105" s="4"/>
      <c r="K105" s="4"/>
      <c r="L105" s="4"/>
      <c r="M105" s="4"/>
      <c r="N105" s="21"/>
      <c r="O105"/>
    </row>
    <row r="106" spans="1:15" ht="51" x14ac:dyDescent="0.25">
      <c r="A106" s="4" t="s">
        <v>323</v>
      </c>
      <c r="B106" s="8" t="s">
        <v>382</v>
      </c>
      <c r="C106" s="4" t="s">
        <v>483</v>
      </c>
      <c r="D106" s="4">
        <v>2</v>
      </c>
      <c r="E106" s="4">
        <v>8</v>
      </c>
      <c r="F106" s="15">
        <v>8</v>
      </c>
      <c r="G106" s="24" t="str">
        <f t="shared" si="1"/>
        <v>*K102462*</v>
      </c>
      <c r="H106" t="s">
        <v>140</v>
      </c>
      <c r="I106" s="26"/>
      <c r="J106" s="4"/>
      <c r="K106" s="4"/>
      <c r="L106" s="4"/>
      <c r="M106" s="4"/>
      <c r="N106" s="21"/>
      <c r="O106"/>
    </row>
    <row r="107" spans="1:15" ht="51" x14ac:dyDescent="0.25">
      <c r="A107" s="4" t="s">
        <v>324</v>
      </c>
      <c r="B107" s="8" t="s">
        <v>383</v>
      </c>
      <c r="C107" s="4" t="s">
        <v>483</v>
      </c>
      <c r="D107" s="4">
        <v>1</v>
      </c>
      <c r="E107" s="4">
        <v>4</v>
      </c>
      <c r="F107" s="15">
        <v>2</v>
      </c>
      <c r="G107" s="24" t="str">
        <f t="shared" si="1"/>
        <v>*K102465*</v>
      </c>
      <c r="H107" t="s">
        <v>140</v>
      </c>
      <c r="I107" s="26"/>
      <c r="J107" s="4"/>
      <c r="K107" s="4"/>
      <c r="L107" s="4"/>
      <c r="M107" s="4"/>
      <c r="N107" s="21"/>
      <c r="O107"/>
    </row>
    <row r="108" spans="1:15" ht="51" x14ac:dyDescent="0.25">
      <c r="A108" s="4" t="s">
        <v>325</v>
      </c>
      <c r="B108" s="8" t="s">
        <v>384</v>
      </c>
      <c r="C108" s="4" t="s">
        <v>483</v>
      </c>
      <c r="D108" s="4">
        <v>1</v>
      </c>
      <c r="E108" s="4">
        <v>2</v>
      </c>
      <c r="F108" s="15">
        <v>3</v>
      </c>
      <c r="G108" s="24" t="str">
        <f t="shared" si="1"/>
        <v>*K102508*</v>
      </c>
      <c r="H108" t="s">
        <v>140</v>
      </c>
      <c r="I108" s="26"/>
      <c r="J108" s="4"/>
      <c r="K108" s="4"/>
      <c r="L108" s="4"/>
      <c r="M108" s="4"/>
      <c r="N108" s="21"/>
      <c r="O108"/>
    </row>
    <row r="109" spans="1:15" ht="51" x14ac:dyDescent="0.25">
      <c r="A109" s="4" t="s">
        <v>326</v>
      </c>
      <c r="B109" s="8" t="s">
        <v>385</v>
      </c>
      <c r="C109" s="4" t="s">
        <v>483</v>
      </c>
      <c r="D109" s="4">
        <v>12</v>
      </c>
      <c r="E109" s="4">
        <v>20</v>
      </c>
      <c r="F109" s="15"/>
      <c r="G109" s="24" t="str">
        <f t="shared" si="1"/>
        <v>*K102516*</v>
      </c>
      <c r="H109" t="s">
        <v>140</v>
      </c>
      <c r="I109" s="26"/>
      <c r="J109" s="4" t="s">
        <v>550</v>
      </c>
      <c r="K109" s="4"/>
      <c r="L109" s="4"/>
      <c r="M109" s="4"/>
      <c r="N109" s="21"/>
      <c r="O109"/>
    </row>
    <row r="110" spans="1:15" ht="51" x14ac:dyDescent="0.25">
      <c r="A110" s="4" t="s">
        <v>327</v>
      </c>
      <c r="B110" s="8" t="s">
        <v>386</v>
      </c>
      <c r="C110" s="4" t="s">
        <v>483</v>
      </c>
      <c r="D110" s="4">
        <v>12</v>
      </c>
      <c r="E110" s="4">
        <v>20</v>
      </c>
      <c r="F110" s="15"/>
      <c r="G110" s="24" t="str">
        <f t="shared" si="1"/>
        <v>*K102517*</v>
      </c>
      <c r="H110" t="s">
        <v>140</v>
      </c>
      <c r="I110" s="26"/>
      <c r="J110" s="4" t="s">
        <v>550</v>
      </c>
      <c r="K110" s="4"/>
      <c r="L110" s="4"/>
      <c r="M110" s="4"/>
      <c r="N110" s="21"/>
      <c r="O110"/>
    </row>
    <row r="111" spans="1:15" ht="51" x14ac:dyDescent="0.25">
      <c r="A111" s="4" t="s">
        <v>328</v>
      </c>
      <c r="B111" s="8" t="s">
        <v>387</v>
      </c>
      <c r="C111" s="4" t="s">
        <v>483</v>
      </c>
      <c r="D111" s="4">
        <v>2</v>
      </c>
      <c r="E111" s="4">
        <v>6</v>
      </c>
      <c r="F111" s="15">
        <v>1</v>
      </c>
      <c r="G111" s="24" t="str">
        <f t="shared" si="1"/>
        <v>*K102566*</v>
      </c>
      <c r="H111" t="s">
        <v>140</v>
      </c>
      <c r="I111" s="26"/>
      <c r="J111" s="4" t="s">
        <v>259</v>
      </c>
      <c r="K111" s="4"/>
      <c r="L111" s="4"/>
      <c r="M111" s="4"/>
      <c r="N111" s="21"/>
      <c r="O111"/>
    </row>
    <row r="112" spans="1:15" ht="51" x14ac:dyDescent="0.25">
      <c r="A112" s="4" t="s">
        <v>329</v>
      </c>
      <c r="B112" s="8" t="s">
        <v>388</v>
      </c>
      <c r="C112" s="4" t="s">
        <v>483</v>
      </c>
      <c r="D112" s="4">
        <v>3</v>
      </c>
      <c r="E112" s="4">
        <v>10</v>
      </c>
      <c r="F112" s="15">
        <v>10</v>
      </c>
      <c r="G112" s="24" t="str">
        <f t="shared" si="1"/>
        <v>*K102618*</v>
      </c>
      <c r="H112" t="s">
        <v>140</v>
      </c>
      <c r="I112" s="26"/>
      <c r="J112" s="4" t="s">
        <v>565</v>
      </c>
      <c r="K112" s="4"/>
      <c r="L112" s="4"/>
      <c r="M112" s="4"/>
      <c r="N112" s="21"/>
      <c r="O112"/>
    </row>
    <row r="113" spans="1:15" ht="51" x14ac:dyDescent="0.25">
      <c r="A113" s="4" t="s">
        <v>330</v>
      </c>
      <c r="B113" s="8" t="s">
        <v>389</v>
      </c>
      <c r="C113" s="4" t="s">
        <v>483</v>
      </c>
      <c r="D113" s="4">
        <v>8</v>
      </c>
      <c r="E113" s="4">
        <v>20</v>
      </c>
      <c r="F113" s="15">
        <v>38</v>
      </c>
      <c r="G113" s="24" t="str">
        <f t="shared" si="1"/>
        <v>*K105047*</v>
      </c>
      <c r="H113" t="s">
        <v>140</v>
      </c>
      <c r="I113" s="26"/>
      <c r="J113" s="4" t="s">
        <v>564</v>
      </c>
      <c r="K113" s="4"/>
      <c r="L113" s="4"/>
      <c r="M113" s="4"/>
      <c r="N113" s="21"/>
      <c r="O113"/>
    </row>
    <row r="114" spans="1:15" ht="51" x14ac:dyDescent="0.25">
      <c r="A114" s="5" t="s">
        <v>583</v>
      </c>
      <c r="B114" s="9" t="s">
        <v>390</v>
      </c>
      <c r="C114" s="4" t="s">
        <v>483</v>
      </c>
      <c r="D114" s="5">
        <v>1</v>
      </c>
      <c r="E114" s="5">
        <v>2</v>
      </c>
      <c r="F114" s="16">
        <v>1</v>
      </c>
      <c r="G114" s="24" t="str">
        <f t="shared" si="1"/>
        <v>*K102461*</v>
      </c>
      <c r="H114" t="s">
        <v>140</v>
      </c>
      <c r="I114" s="26"/>
      <c r="J114" s="4" t="s">
        <v>566</v>
      </c>
      <c r="K114" s="4"/>
      <c r="L114" s="4"/>
      <c r="M114" s="4"/>
      <c r="N114" s="21"/>
      <c r="O114"/>
    </row>
    <row r="115" spans="1:15" ht="51" x14ac:dyDescent="0.25">
      <c r="A115" s="4" t="s">
        <v>331</v>
      </c>
      <c r="B115" s="8" t="s">
        <v>391</v>
      </c>
      <c r="C115" s="4" t="s">
        <v>483</v>
      </c>
      <c r="D115" s="4">
        <v>2</v>
      </c>
      <c r="E115" s="4">
        <v>4</v>
      </c>
      <c r="F115" s="15">
        <v>2</v>
      </c>
      <c r="G115" s="24" t="str">
        <f t="shared" si="1"/>
        <v>*K13642*</v>
      </c>
      <c r="H115" t="s">
        <v>140</v>
      </c>
      <c r="I115" s="26"/>
      <c r="J115" s="4"/>
      <c r="K115" s="4"/>
      <c r="L115" s="4"/>
      <c r="M115" s="4"/>
      <c r="N115" s="21"/>
      <c r="O115"/>
    </row>
    <row r="116" spans="1:15" ht="51" x14ac:dyDescent="0.25">
      <c r="A116" s="4" t="s">
        <v>332</v>
      </c>
      <c r="B116" s="8" t="s">
        <v>392</v>
      </c>
      <c r="C116" s="4" t="s">
        <v>483</v>
      </c>
      <c r="D116" s="4">
        <v>2</v>
      </c>
      <c r="E116" s="4">
        <v>6</v>
      </c>
      <c r="F116" s="15">
        <v>5</v>
      </c>
      <c r="G116" s="24" t="str">
        <f t="shared" si="1"/>
        <v>*K51010*</v>
      </c>
      <c r="H116" t="s">
        <v>140</v>
      </c>
      <c r="I116" s="26"/>
      <c r="J116" s="4" t="s">
        <v>567</v>
      </c>
      <c r="K116" s="4"/>
      <c r="L116" s="4"/>
      <c r="M116" s="4"/>
      <c r="N116" s="21"/>
      <c r="O116"/>
    </row>
    <row r="117" spans="1:15" ht="51" x14ac:dyDescent="0.25">
      <c r="A117" s="4" t="s">
        <v>333</v>
      </c>
      <c r="B117" s="8" t="s">
        <v>393</v>
      </c>
      <c r="C117" s="4" t="s">
        <v>483</v>
      </c>
      <c r="D117" s="4">
        <v>1</v>
      </c>
      <c r="E117" s="4">
        <v>2</v>
      </c>
      <c r="F117" s="15">
        <v>1</v>
      </c>
      <c r="G117" s="24" t="str">
        <f t="shared" si="1"/>
        <v>*K51014*</v>
      </c>
      <c r="H117" t="s">
        <v>140</v>
      </c>
      <c r="I117" s="26"/>
      <c r="J117" s="4" t="s">
        <v>567</v>
      </c>
      <c r="K117" s="4"/>
      <c r="L117" s="4"/>
      <c r="M117" s="4"/>
      <c r="N117" s="21"/>
      <c r="O117"/>
    </row>
    <row r="118" spans="1:15" ht="51" x14ac:dyDescent="0.25">
      <c r="A118" s="4" t="s">
        <v>225</v>
      </c>
      <c r="B118" s="8" t="s">
        <v>394</v>
      </c>
      <c r="C118" s="4" t="s">
        <v>483</v>
      </c>
      <c r="D118" s="4">
        <v>2</v>
      </c>
      <c r="E118" s="4">
        <v>8</v>
      </c>
      <c r="F118" s="15">
        <v>7</v>
      </c>
      <c r="G118" s="24" t="str">
        <f t="shared" si="1"/>
        <v>*TEMP0066*</v>
      </c>
      <c r="H118" t="s">
        <v>140</v>
      </c>
      <c r="I118" s="26"/>
      <c r="J118" s="4"/>
      <c r="K118" s="4"/>
      <c r="L118" s="4"/>
      <c r="M118" s="4"/>
      <c r="N118" s="21"/>
      <c r="O118"/>
    </row>
    <row r="119" spans="1:15" ht="51" x14ac:dyDescent="0.25">
      <c r="A119" s="4" t="s">
        <v>226</v>
      </c>
      <c r="B119" s="8" t="s">
        <v>395</v>
      </c>
      <c r="C119" s="4" t="s">
        <v>483</v>
      </c>
      <c r="D119" s="4">
        <v>2</v>
      </c>
      <c r="E119" s="4">
        <v>8</v>
      </c>
      <c r="F119" s="15">
        <v>6</v>
      </c>
      <c r="G119" s="24" t="str">
        <f t="shared" si="1"/>
        <v>*TEMP0067*</v>
      </c>
      <c r="H119" t="s">
        <v>140</v>
      </c>
      <c r="I119" s="26"/>
      <c r="J119" s="4"/>
      <c r="K119" s="4"/>
      <c r="L119" s="4"/>
      <c r="M119" s="4"/>
      <c r="N119" s="21"/>
      <c r="O119"/>
    </row>
    <row r="120" spans="1:15" ht="51" x14ac:dyDescent="0.25">
      <c r="A120" s="4" t="s">
        <v>227</v>
      </c>
      <c r="B120" s="8" t="s">
        <v>396</v>
      </c>
      <c r="C120" s="4" t="s">
        <v>483</v>
      </c>
      <c r="D120" s="4">
        <v>2</v>
      </c>
      <c r="E120" s="4">
        <v>8</v>
      </c>
      <c r="F120" s="15">
        <v>3</v>
      </c>
      <c r="G120" s="24" t="s">
        <v>596</v>
      </c>
      <c r="H120" t="s">
        <v>140</v>
      </c>
      <c r="I120" s="26"/>
      <c r="J120" s="4"/>
      <c r="K120" s="4"/>
      <c r="L120" s="4"/>
      <c r="M120" s="4"/>
      <c r="N120" s="21"/>
      <c r="O120"/>
    </row>
    <row r="121" spans="1:15" ht="51" x14ac:dyDescent="0.25">
      <c r="A121" s="4" t="s">
        <v>228</v>
      </c>
      <c r="B121" s="8" t="s">
        <v>397</v>
      </c>
      <c r="C121" s="4" t="s">
        <v>483</v>
      </c>
      <c r="D121" s="4">
        <v>1</v>
      </c>
      <c r="E121" s="4">
        <v>2</v>
      </c>
      <c r="F121" s="15">
        <v>1</v>
      </c>
      <c r="G121" s="24" t="str">
        <f t="shared" si="1"/>
        <v>*TEMP0069*</v>
      </c>
      <c r="H121" t="s">
        <v>140</v>
      </c>
      <c r="I121" s="26"/>
      <c r="J121" s="4" t="s">
        <v>567</v>
      </c>
      <c r="K121" s="4"/>
      <c r="L121" s="4"/>
      <c r="M121" s="4"/>
      <c r="N121" s="21"/>
      <c r="O121"/>
    </row>
    <row r="122" spans="1:15" ht="51" x14ac:dyDescent="0.25">
      <c r="A122" s="4" t="s">
        <v>229</v>
      </c>
      <c r="B122" s="8" t="s">
        <v>398</v>
      </c>
      <c r="C122" s="4" t="s">
        <v>483</v>
      </c>
      <c r="D122" s="4">
        <v>1</v>
      </c>
      <c r="E122" s="4">
        <v>2</v>
      </c>
      <c r="F122" s="15">
        <v>4</v>
      </c>
      <c r="G122" s="24" t="str">
        <f t="shared" si="1"/>
        <v>*TEMP0070*</v>
      </c>
      <c r="H122" t="s">
        <v>140</v>
      </c>
      <c r="I122" s="26"/>
      <c r="J122" s="4" t="s">
        <v>567</v>
      </c>
      <c r="K122" s="4"/>
      <c r="L122" s="4"/>
      <c r="M122" s="4"/>
      <c r="N122" s="21"/>
      <c r="O122"/>
    </row>
    <row r="123" spans="1:15" ht="51" x14ac:dyDescent="0.25">
      <c r="A123" s="4" t="s">
        <v>230</v>
      </c>
      <c r="B123" s="8" t="s">
        <v>399</v>
      </c>
      <c r="C123" s="4" t="s">
        <v>483</v>
      </c>
      <c r="D123" s="4">
        <v>1</v>
      </c>
      <c r="E123" s="4">
        <v>2</v>
      </c>
      <c r="F123" s="15">
        <v>2</v>
      </c>
      <c r="G123" s="24" t="str">
        <f t="shared" si="1"/>
        <v>*TEMP0071*</v>
      </c>
      <c r="H123" t="s">
        <v>140</v>
      </c>
      <c r="I123" s="26"/>
      <c r="J123" s="4" t="s">
        <v>567</v>
      </c>
      <c r="K123" s="4"/>
      <c r="L123" s="4"/>
      <c r="M123" s="4"/>
      <c r="N123" s="21"/>
      <c r="O123"/>
    </row>
    <row r="124" spans="1:15" ht="51" x14ac:dyDescent="0.25">
      <c r="A124" s="4" t="s">
        <v>231</v>
      </c>
      <c r="B124" s="8" t="s">
        <v>400</v>
      </c>
      <c r="C124" s="4" t="s">
        <v>483</v>
      </c>
      <c r="D124" s="4">
        <v>1</v>
      </c>
      <c r="E124" s="4">
        <v>2</v>
      </c>
      <c r="F124" s="15">
        <v>3</v>
      </c>
      <c r="G124" s="24" t="str">
        <f t="shared" si="1"/>
        <v>*TEMP0072*</v>
      </c>
      <c r="H124" t="s">
        <v>140</v>
      </c>
      <c r="I124" s="26"/>
      <c r="J124" s="4" t="s">
        <v>567</v>
      </c>
      <c r="K124" s="4"/>
      <c r="L124" s="4"/>
      <c r="M124" s="4"/>
      <c r="N124" s="21"/>
      <c r="O124"/>
    </row>
    <row r="125" spans="1:15" ht="51" x14ac:dyDescent="0.25">
      <c r="A125" s="4" t="s">
        <v>522</v>
      </c>
      <c r="B125" s="8" t="s">
        <v>480</v>
      </c>
      <c r="C125" s="4" t="s">
        <v>483</v>
      </c>
      <c r="D125" s="4">
        <v>1</v>
      </c>
      <c r="E125" s="4">
        <v>2</v>
      </c>
      <c r="F125" s="15">
        <v>1</v>
      </c>
      <c r="G125" s="24" t="str">
        <f t="shared" si="1"/>
        <v>*TEMP0121*</v>
      </c>
      <c r="H125" t="s">
        <v>140</v>
      </c>
      <c r="I125" s="26"/>
      <c r="J125" s="4" t="s">
        <v>567</v>
      </c>
      <c r="K125" s="4"/>
      <c r="L125" s="4"/>
      <c r="M125" s="4"/>
      <c r="N125" s="21"/>
      <c r="O125"/>
    </row>
    <row r="126" spans="1:15" ht="51" x14ac:dyDescent="0.25">
      <c r="A126" s="4" t="s">
        <v>523</v>
      </c>
      <c r="B126" s="8" t="s">
        <v>481</v>
      </c>
      <c r="C126" s="4" t="s">
        <v>483</v>
      </c>
      <c r="D126" s="4">
        <v>1</v>
      </c>
      <c r="E126" s="4">
        <v>2</v>
      </c>
      <c r="F126" s="15">
        <v>2</v>
      </c>
      <c r="G126" s="24" t="str">
        <f t="shared" si="1"/>
        <v>*TEMP0122*</v>
      </c>
      <c r="H126" t="s">
        <v>140</v>
      </c>
      <c r="I126" s="26"/>
      <c r="J126" s="4" t="s">
        <v>567</v>
      </c>
      <c r="K126" s="4"/>
      <c r="L126" s="4"/>
      <c r="M126" s="4"/>
      <c r="N126" s="21"/>
      <c r="O126"/>
    </row>
    <row r="127" spans="1:15" ht="51" x14ac:dyDescent="0.25">
      <c r="A127" s="4" t="s">
        <v>524</v>
      </c>
      <c r="B127" s="8" t="s">
        <v>482</v>
      </c>
      <c r="C127" s="4" t="s">
        <v>483</v>
      </c>
      <c r="D127" s="4">
        <v>1</v>
      </c>
      <c r="E127" s="4">
        <v>2</v>
      </c>
      <c r="F127" s="15">
        <v>2</v>
      </c>
      <c r="G127" s="24" t="str">
        <f t="shared" si="1"/>
        <v>*TEMP0123*</v>
      </c>
      <c r="H127" t="s">
        <v>140</v>
      </c>
      <c r="I127" s="26"/>
      <c r="J127" s="4" t="s">
        <v>567</v>
      </c>
      <c r="K127" s="4"/>
      <c r="L127" s="4"/>
      <c r="M127" s="4"/>
      <c r="N127" s="21"/>
      <c r="O127"/>
    </row>
    <row r="128" spans="1:15" ht="51" x14ac:dyDescent="0.25">
      <c r="A128" s="32" t="s">
        <v>334</v>
      </c>
      <c r="B128" s="33" t="s">
        <v>401</v>
      </c>
      <c r="C128" s="32" t="s">
        <v>484</v>
      </c>
      <c r="D128" s="4">
        <v>1</v>
      </c>
      <c r="E128" s="4">
        <v>2</v>
      </c>
      <c r="F128" s="15">
        <v>1</v>
      </c>
      <c r="G128" s="24" t="str">
        <f t="shared" si="1"/>
        <v>*K13485*</v>
      </c>
      <c r="H128" t="s">
        <v>140</v>
      </c>
      <c r="I128" s="26"/>
      <c r="J128" s="4"/>
      <c r="K128" s="4"/>
      <c r="L128" s="4"/>
      <c r="M128" s="4"/>
      <c r="N128" s="21"/>
      <c r="O128"/>
    </row>
    <row r="129" spans="1:15" ht="51" x14ac:dyDescent="0.25">
      <c r="A129" s="4" t="s">
        <v>335</v>
      </c>
      <c r="B129" s="8" t="s">
        <v>402</v>
      </c>
      <c r="C129" s="4" t="s">
        <v>484</v>
      </c>
      <c r="D129" s="4">
        <v>1</v>
      </c>
      <c r="E129" s="4">
        <v>1</v>
      </c>
      <c r="F129" s="15">
        <v>1</v>
      </c>
      <c r="G129" s="24" t="str">
        <f t="shared" si="1"/>
        <v>*K25689*</v>
      </c>
      <c r="H129" t="s">
        <v>140</v>
      </c>
      <c r="I129" s="26"/>
      <c r="J129" s="4" t="s">
        <v>568</v>
      </c>
      <c r="K129" s="4"/>
      <c r="L129" s="4"/>
      <c r="M129" s="4"/>
      <c r="N129" s="21"/>
      <c r="O129"/>
    </row>
    <row r="130" spans="1:15" ht="51" x14ac:dyDescent="0.25">
      <c r="A130" s="4" t="s">
        <v>336</v>
      </c>
      <c r="B130" s="8" t="s">
        <v>403</v>
      </c>
      <c r="C130" s="4" t="s">
        <v>484</v>
      </c>
      <c r="D130" s="4">
        <v>2</v>
      </c>
      <c r="E130" s="4">
        <v>4</v>
      </c>
      <c r="F130" s="15">
        <v>2</v>
      </c>
      <c r="G130" s="24" t="str">
        <f t="shared" ref="G130:G193" si="2">"*"&amp;A130&amp;"*"</f>
        <v>*K25715*</v>
      </c>
      <c r="H130" t="s">
        <v>140</v>
      </c>
      <c r="I130" s="26"/>
      <c r="J130" s="4"/>
      <c r="K130" s="4"/>
      <c r="L130" s="4"/>
      <c r="M130" s="4"/>
      <c r="N130" s="21"/>
      <c r="O130"/>
    </row>
    <row r="131" spans="1:15" ht="51" x14ac:dyDescent="0.25">
      <c r="A131" s="4" t="s">
        <v>337</v>
      </c>
      <c r="B131" s="8" t="s">
        <v>404</v>
      </c>
      <c r="C131" s="4" t="s">
        <v>484</v>
      </c>
      <c r="D131" s="4">
        <v>1</v>
      </c>
      <c r="E131" s="4">
        <v>2</v>
      </c>
      <c r="F131" s="15">
        <v>2</v>
      </c>
      <c r="G131" s="24" t="str">
        <f t="shared" si="2"/>
        <v>*K25729*</v>
      </c>
      <c r="H131" t="s">
        <v>140</v>
      </c>
      <c r="I131" s="26"/>
      <c r="J131" s="4"/>
      <c r="K131" s="4"/>
      <c r="L131" s="4"/>
      <c r="M131" s="4"/>
      <c r="N131" s="21"/>
      <c r="O131"/>
    </row>
    <row r="132" spans="1:15" ht="51" x14ac:dyDescent="0.25">
      <c r="A132" s="4" t="s">
        <v>338</v>
      </c>
      <c r="B132" s="8" t="s">
        <v>405</v>
      </c>
      <c r="C132" s="4" t="s">
        <v>484</v>
      </c>
      <c r="D132" s="4">
        <v>2</v>
      </c>
      <c r="E132" s="4">
        <v>8</v>
      </c>
      <c r="F132" s="15">
        <v>8</v>
      </c>
      <c r="G132" s="24" t="str">
        <f t="shared" si="2"/>
        <v>*K25741*</v>
      </c>
      <c r="H132" t="s">
        <v>140</v>
      </c>
      <c r="I132" s="26"/>
      <c r="J132" s="4"/>
      <c r="K132" s="4"/>
      <c r="L132" s="4"/>
      <c r="M132" s="4"/>
      <c r="N132" s="21"/>
      <c r="O132"/>
    </row>
    <row r="133" spans="1:15" ht="51" x14ac:dyDescent="0.25">
      <c r="A133" s="4" t="s">
        <v>339</v>
      </c>
      <c r="B133" s="8" t="s">
        <v>406</v>
      </c>
      <c r="C133" s="4" t="s">
        <v>484</v>
      </c>
      <c r="D133" s="4">
        <v>1</v>
      </c>
      <c r="E133" s="4">
        <v>2</v>
      </c>
      <c r="F133" s="15">
        <v>2</v>
      </c>
      <c r="G133" s="24" t="str">
        <f t="shared" si="2"/>
        <v>*K25746*</v>
      </c>
      <c r="H133" t="s">
        <v>140</v>
      </c>
      <c r="I133" s="26"/>
      <c r="J133" s="4" t="s">
        <v>256</v>
      </c>
      <c r="K133" s="4"/>
      <c r="L133" s="4"/>
      <c r="M133" s="4"/>
      <c r="N133" s="21"/>
      <c r="O133"/>
    </row>
    <row r="134" spans="1:15" ht="51" x14ac:dyDescent="0.25">
      <c r="A134" s="4" t="s">
        <v>232</v>
      </c>
      <c r="B134" s="8" t="s">
        <v>407</v>
      </c>
      <c r="C134" s="4" t="s">
        <v>484</v>
      </c>
      <c r="D134" s="4">
        <v>1</v>
      </c>
      <c r="E134" s="4">
        <v>2</v>
      </c>
      <c r="F134" s="15">
        <v>2</v>
      </c>
      <c r="G134" s="24" t="str">
        <f t="shared" si="2"/>
        <v>*TEMP0073*</v>
      </c>
      <c r="H134" t="s">
        <v>140</v>
      </c>
      <c r="I134" s="26"/>
      <c r="J134" s="4" t="s">
        <v>569</v>
      </c>
      <c r="K134" s="4"/>
      <c r="L134" s="4"/>
      <c r="M134" s="4"/>
      <c r="N134" s="21"/>
      <c r="O134"/>
    </row>
    <row r="135" spans="1:15" ht="51" x14ac:dyDescent="0.25">
      <c r="A135" s="4" t="s">
        <v>233</v>
      </c>
      <c r="B135" s="8" t="s">
        <v>408</v>
      </c>
      <c r="C135" s="4" t="s">
        <v>484</v>
      </c>
      <c r="D135" s="4">
        <v>2</v>
      </c>
      <c r="E135" s="4">
        <v>6</v>
      </c>
      <c r="F135" s="15">
        <v>5</v>
      </c>
      <c r="G135" s="24" t="str">
        <f t="shared" si="2"/>
        <v>*TEMP0074*</v>
      </c>
      <c r="H135" t="s">
        <v>140</v>
      </c>
      <c r="I135" s="26"/>
      <c r="J135" s="4" t="s">
        <v>259</v>
      </c>
      <c r="K135" s="4"/>
      <c r="L135" s="4"/>
      <c r="M135" s="4"/>
      <c r="N135" s="21"/>
      <c r="O135"/>
    </row>
    <row r="136" spans="1:15" ht="51" x14ac:dyDescent="0.25">
      <c r="A136" s="4" t="s">
        <v>234</v>
      </c>
      <c r="B136" s="8" t="s">
        <v>409</v>
      </c>
      <c r="C136" s="4" t="s">
        <v>484</v>
      </c>
      <c r="D136" s="4">
        <v>1</v>
      </c>
      <c r="E136" s="4">
        <v>3</v>
      </c>
      <c r="F136" s="15">
        <v>3</v>
      </c>
      <c r="G136" s="24" t="str">
        <f t="shared" si="2"/>
        <v>*TEMP0075*</v>
      </c>
      <c r="H136" t="s">
        <v>140</v>
      </c>
      <c r="I136" s="26"/>
      <c r="J136" s="4"/>
      <c r="K136" s="4"/>
      <c r="L136" s="4"/>
      <c r="M136" s="4"/>
      <c r="N136" s="21"/>
      <c r="O136"/>
    </row>
    <row r="137" spans="1:15" ht="51" x14ac:dyDescent="0.25">
      <c r="A137" s="4" t="s">
        <v>235</v>
      </c>
      <c r="B137" s="8" t="s">
        <v>410</v>
      </c>
      <c r="C137" s="4" t="s">
        <v>484</v>
      </c>
      <c r="D137" s="4">
        <v>1</v>
      </c>
      <c r="E137" s="4">
        <v>2</v>
      </c>
      <c r="F137" s="15">
        <v>2</v>
      </c>
      <c r="G137" s="24" t="str">
        <f t="shared" si="2"/>
        <v>*TEMP0076*</v>
      </c>
      <c r="H137" t="s">
        <v>140</v>
      </c>
      <c r="I137" s="26"/>
      <c r="J137" s="4"/>
      <c r="K137" s="4"/>
      <c r="L137" s="4"/>
      <c r="M137" s="4"/>
      <c r="N137" s="21"/>
      <c r="O137"/>
    </row>
    <row r="138" spans="1:15" ht="51" x14ac:dyDescent="0.25">
      <c r="A138" s="4" t="s">
        <v>236</v>
      </c>
      <c r="B138" s="8" t="s">
        <v>411</v>
      </c>
      <c r="C138" s="4" t="s">
        <v>484</v>
      </c>
      <c r="D138" s="4">
        <v>2</v>
      </c>
      <c r="E138" s="4">
        <v>4</v>
      </c>
      <c r="F138" s="15">
        <v>4</v>
      </c>
      <c r="G138" s="24" t="str">
        <f t="shared" si="2"/>
        <v>*TEMP0077*</v>
      </c>
      <c r="H138" t="s">
        <v>140</v>
      </c>
      <c r="I138" s="26"/>
      <c r="J138" s="4"/>
      <c r="K138" s="4"/>
      <c r="L138" s="4"/>
      <c r="M138" s="4"/>
      <c r="N138" s="21"/>
      <c r="O138"/>
    </row>
    <row r="139" spans="1:15" ht="51" x14ac:dyDescent="0.25">
      <c r="A139" s="4" t="s">
        <v>237</v>
      </c>
      <c r="B139" s="8" t="s">
        <v>412</v>
      </c>
      <c r="C139" s="4" t="s">
        <v>484</v>
      </c>
      <c r="D139" s="4">
        <v>1</v>
      </c>
      <c r="E139" s="4">
        <v>2</v>
      </c>
      <c r="F139" s="15">
        <v>2</v>
      </c>
      <c r="G139" s="24" t="str">
        <f t="shared" si="2"/>
        <v>*TEMP0078*</v>
      </c>
      <c r="H139" t="s">
        <v>140</v>
      </c>
      <c r="I139" s="26"/>
      <c r="J139" s="4"/>
      <c r="K139" s="4"/>
      <c r="L139" s="4"/>
      <c r="M139" s="4"/>
      <c r="N139" s="21"/>
      <c r="O139"/>
    </row>
    <row r="140" spans="1:15" ht="51" x14ac:dyDescent="0.25">
      <c r="A140" s="4" t="s">
        <v>238</v>
      </c>
      <c r="B140" s="8" t="s">
        <v>413</v>
      </c>
      <c r="C140" s="4" t="s">
        <v>484</v>
      </c>
      <c r="D140" s="4">
        <v>1</v>
      </c>
      <c r="E140" s="4">
        <v>2</v>
      </c>
      <c r="F140" s="15">
        <v>2</v>
      </c>
      <c r="G140" s="24" t="str">
        <f t="shared" si="2"/>
        <v>*TEMP0079*</v>
      </c>
      <c r="H140" t="s">
        <v>140</v>
      </c>
      <c r="I140" s="26"/>
      <c r="J140" s="4"/>
      <c r="K140" s="4"/>
      <c r="L140" s="4"/>
      <c r="M140" s="4"/>
      <c r="N140" s="21"/>
      <c r="O140"/>
    </row>
    <row r="141" spans="1:15" ht="51" x14ac:dyDescent="0.25">
      <c r="A141" s="4" t="s">
        <v>239</v>
      </c>
      <c r="B141" s="8" t="s">
        <v>414</v>
      </c>
      <c r="C141" s="4" t="s">
        <v>484</v>
      </c>
      <c r="D141" s="4">
        <v>2</v>
      </c>
      <c r="E141" s="4">
        <v>12</v>
      </c>
      <c r="F141" s="15">
        <v>12</v>
      </c>
      <c r="G141" s="24" t="str">
        <f t="shared" si="2"/>
        <v>*TEMP0080*</v>
      </c>
      <c r="H141" t="s">
        <v>140</v>
      </c>
      <c r="I141" s="26"/>
      <c r="J141" s="4"/>
      <c r="K141" s="4"/>
      <c r="L141" s="4"/>
      <c r="M141" s="4"/>
      <c r="N141" s="21"/>
      <c r="O141"/>
    </row>
    <row r="142" spans="1:15" ht="51" x14ac:dyDescent="0.25">
      <c r="A142" s="4" t="s">
        <v>240</v>
      </c>
      <c r="B142" s="8" t="s">
        <v>415</v>
      </c>
      <c r="C142" s="4" t="s">
        <v>484</v>
      </c>
      <c r="D142" s="4">
        <v>1</v>
      </c>
      <c r="E142" s="4">
        <v>1</v>
      </c>
      <c r="F142" s="15">
        <v>1</v>
      </c>
      <c r="G142" s="24" t="str">
        <f t="shared" si="2"/>
        <v>*TEMP0081*</v>
      </c>
      <c r="H142" t="s">
        <v>140</v>
      </c>
      <c r="I142" s="26"/>
      <c r="J142" s="4"/>
      <c r="K142" s="4"/>
      <c r="L142" s="4"/>
      <c r="M142" s="4"/>
      <c r="N142" s="21"/>
      <c r="O142"/>
    </row>
    <row r="143" spans="1:15" ht="51" x14ac:dyDescent="0.25">
      <c r="A143" s="4" t="s">
        <v>241</v>
      </c>
      <c r="B143" s="8" t="s">
        <v>416</v>
      </c>
      <c r="C143" s="4" t="s">
        <v>484</v>
      </c>
      <c r="D143" s="4">
        <v>1</v>
      </c>
      <c r="E143" s="4">
        <v>1</v>
      </c>
      <c r="F143" s="15">
        <v>1</v>
      </c>
      <c r="G143" s="24" t="str">
        <f t="shared" si="2"/>
        <v>*TEMP0082*</v>
      </c>
      <c r="H143" t="s">
        <v>140</v>
      </c>
      <c r="I143" s="26"/>
      <c r="J143" s="4"/>
      <c r="K143" s="4"/>
      <c r="L143" s="4"/>
      <c r="M143" s="4"/>
      <c r="N143" s="21"/>
      <c r="O143"/>
    </row>
    <row r="144" spans="1:15" ht="51" x14ac:dyDescent="0.25">
      <c r="A144" s="4" t="s">
        <v>242</v>
      </c>
      <c r="B144" s="8" t="s">
        <v>417</v>
      </c>
      <c r="C144" s="4" t="s">
        <v>484</v>
      </c>
      <c r="D144" s="4">
        <v>1</v>
      </c>
      <c r="E144" s="4">
        <v>1</v>
      </c>
      <c r="F144" s="15">
        <v>1</v>
      </c>
      <c r="G144" s="24" t="str">
        <f t="shared" si="2"/>
        <v>*TEMP0083*</v>
      </c>
      <c r="H144" t="s">
        <v>140</v>
      </c>
      <c r="I144" s="26"/>
      <c r="J144" s="4"/>
      <c r="K144" s="4"/>
      <c r="L144" s="4"/>
      <c r="M144" s="4"/>
      <c r="N144" s="21"/>
      <c r="O144"/>
    </row>
    <row r="145" spans="1:15" ht="51" x14ac:dyDescent="0.25">
      <c r="A145" s="4" t="s">
        <v>243</v>
      </c>
      <c r="B145" s="8" t="s">
        <v>418</v>
      </c>
      <c r="C145" s="4" t="s">
        <v>484</v>
      </c>
      <c r="D145" s="4">
        <v>1</v>
      </c>
      <c r="E145" s="4">
        <v>2</v>
      </c>
      <c r="F145" s="15">
        <v>2</v>
      </c>
      <c r="G145" s="24" t="str">
        <f t="shared" si="2"/>
        <v>*TEMP0084*</v>
      </c>
      <c r="H145" t="s">
        <v>140</v>
      </c>
      <c r="I145" s="26"/>
      <c r="J145" s="4"/>
      <c r="K145" s="4"/>
      <c r="L145" s="4"/>
      <c r="M145" s="4"/>
      <c r="N145" s="21"/>
      <c r="O145"/>
    </row>
    <row r="146" spans="1:15" ht="51" x14ac:dyDescent="0.25">
      <c r="A146" s="4" t="s">
        <v>244</v>
      </c>
      <c r="B146" s="8" t="s">
        <v>419</v>
      </c>
      <c r="C146" s="4" t="s">
        <v>484</v>
      </c>
      <c r="D146" s="4">
        <v>1</v>
      </c>
      <c r="E146" s="4">
        <v>2</v>
      </c>
      <c r="F146" s="15">
        <v>2</v>
      </c>
      <c r="G146" s="24" t="str">
        <f t="shared" si="2"/>
        <v>*TEMP0085*</v>
      </c>
      <c r="H146" t="s">
        <v>140</v>
      </c>
      <c r="I146" s="26"/>
      <c r="J146" s="4"/>
      <c r="K146" s="4"/>
      <c r="L146" s="4"/>
      <c r="M146" s="4"/>
      <c r="N146" s="21"/>
      <c r="O146"/>
    </row>
    <row r="147" spans="1:15" ht="51" x14ac:dyDescent="0.25">
      <c r="A147" s="4" t="s">
        <v>245</v>
      </c>
      <c r="B147" s="8" t="s">
        <v>420</v>
      </c>
      <c r="C147" s="4" t="s">
        <v>484</v>
      </c>
      <c r="D147" s="4">
        <v>1</v>
      </c>
      <c r="E147" s="4">
        <v>6</v>
      </c>
      <c r="F147" s="15">
        <v>6</v>
      </c>
      <c r="G147" s="24" t="str">
        <f t="shared" si="2"/>
        <v>*TEMP0086*</v>
      </c>
      <c r="H147" t="s">
        <v>140</v>
      </c>
      <c r="I147" s="26"/>
      <c r="J147" s="4"/>
      <c r="K147" s="4"/>
      <c r="L147" s="4"/>
      <c r="M147" s="4"/>
      <c r="N147" s="21"/>
      <c r="O147"/>
    </row>
    <row r="148" spans="1:15" ht="51" x14ac:dyDescent="0.25">
      <c r="A148" s="4" t="s">
        <v>246</v>
      </c>
      <c r="B148" s="8" t="s">
        <v>421</v>
      </c>
      <c r="C148" s="4" t="s">
        <v>484</v>
      </c>
      <c r="D148" s="4">
        <v>1</v>
      </c>
      <c r="E148" s="4">
        <v>2</v>
      </c>
      <c r="F148" s="15">
        <v>2</v>
      </c>
      <c r="G148" s="24" t="str">
        <f t="shared" si="2"/>
        <v>*TEMP0087*</v>
      </c>
      <c r="H148" t="s">
        <v>140</v>
      </c>
      <c r="I148" s="26"/>
      <c r="J148" s="4"/>
      <c r="K148" s="4"/>
      <c r="L148" s="4"/>
      <c r="M148" s="4"/>
      <c r="N148" s="21"/>
      <c r="O148"/>
    </row>
    <row r="149" spans="1:15" ht="51" x14ac:dyDescent="0.25">
      <c r="A149" s="4" t="s">
        <v>247</v>
      </c>
      <c r="B149" s="8" t="s">
        <v>422</v>
      </c>
      <c r="C149" s="4" t="s">
        <v>484</v>
      </c>
      <c r="D149" s="4">
        <v>1</v>
      </c>
      <c r="E149" s="4">
        <v>1</v>
      </c>
      <c r="F149" s="15">
        <v>1</v>
      </c>
      <c r="G149" s="24" t="str">
        <f t="shared" si="2"/>
        <v>*TEMP0088*</v>
      </c>
      <c r="H149" t="s">
        <v>140</v>
      </c>
      <c r="I149" s="26"/>
      <c r="J149" s="4"/>
      <c r="K149" s="4"/>
      <c r="L149" s="4"/>
      <c r="M149" s="4"/>
      <c r="N149" s="21"/>
      <c r="O149"/>
    </row>
    <row r="150" spans="1:15" ht="51" x14ac:dyDescent="0.25">
      <c r="A150" s="4" t="s">
        <v>248</v>
      </c>
      <c r="B150" s="8" t="s">
        <v>423</v>
      </c>
      <c r="C150" s="4" t="s">
        <v>484</v>
      </c>
      <c r="D150" s="4">
        <v>1</v>
      </c>
      <c r="E150" s="4">
        <v>1</v>
      </c>
      <c r="F150" s="15">
        <v>1</v>
      </c>
      <c r="G150" s="24" t="str">
        <f t="shared" si="2"/>
        <v>*TEMP0089*</v>
      </c>
      <c r="H150" t="s">
        <v>140</v>
      </c>
      <c r="I150" s="26"/>
      <c r="J150" s="4"/>
      <c r="K150" s="4"/>
      <c r="L150" s="4"/>
      <c r="M150" s="4"/>
      <c r="N150" s="21"/>
      <c r="O150"/>
    </row>
    <row r="151" spans="1:15" ht="51" x14ac:dyDescent="0.25">
      <c r="A151" s="4" t="s">
        <v>249</v>
      </c>
      <c r="B151" s="8" t="s">
        <v>424</v>
      </c>
      <c r="C151" s="4" t="s">
        <v>484</v>
      </c>
      <c r="D151" s="4">
        <v>1</v>
      </c>
      <c r="E151" s="4">
        <v>1</v>
      </c>
      <c r="F151" s="15">
        <v>1</v>
      </c>
      <c r="G151" s="24" t="str">
        <f t="shared" si="2"/>
        <v>*TEMP0090*</v>
      </c>
      <c r="H151" t="s">
        <v>140</v>
      </c>
      <c r="I151" s="26"/>
      <c r="J151" s="4"/>
      <c r="K151" s="4"/>
      <c r="L151" s="4"/>
      <c r="M151" s="4"/>
      <c r="N151" s="21"/>
      <c r="O151"/>
    </row>
    <row r="152" spans="1:15" ht="51" x14ac:dyDescent="0.25">
      <c r="A152" s="4" t="s">
        <v>250</v>
      </c>
      <c r="B152" s="8" t="s">
        <v>425</v>
      </c>
      <c r="C152" s="4" t="s">
        <v>484</v>
      </c>
      <c r="D152" s="4">
        <v>1</v>
      </c>
      <c r="E152" s="4">
        <v>1</v>
      </c>
      <c r="F152" s="15">
        <v>1</v>
      </c>
      <c r="G152" s="24" t="str">
        <f t="shared" si="2"/>
        <v>*TEMP0091*</v>
      </c>
      <c r="H152" t="s">
        <v>140</v>
      </c>
      <c r="I152" s="26"/>
      <c r="J152" s="4"/>
      <c r="K152" s="4"/>
      <c r="L152" s="4"/>
      <c r="M152" s="4"/>
      <c r="N152" s="21"/>
      <c r="O152"/>
    </row>
    <row r="153" spans="1:15" ht="51" x14ac:dyDescent="0.25">
      <c r="A153" s="4" t="s">
        <v>490</v>
      </c>
      <c r="B153" s="8" t="s">
        <v>426</v>
      </c>
      <c r="C153" s="4" t="s">
        <v>484</v>
      </c>
      <c r="D153" s="4">
        <v>1</v>
      </c>
      <c r="E153" s="4">
        <v>1</v>
      </c>
      <c r="F153" s="15">
        <v>1</v>
      </c>
      <c r="G153" s="24" t="str">
        <f t="shared" si="2"/>
        <v>*TEMP0092*</v>
      </c>
      <c r="H153" t="s">
        <v>140</v>
      </c>
      <c r="I153" s="26"/>
      <c r="J153" s="4"/>
      <c r="K153" s="4"/>
      <c r="L153" s="4"/>
      <c r="M153" s="4"/>
      <c r="N153" s="21"/>
      <c r="O153"/>
    </row>
    <row r="154" spans="1:15" ht="51" x14ac:dyDescent="0.25">
      <c r="A154" s="4" t="s">
        <v>491</v>
      </c>
      <c r="B154" s="8" t="s">
        <v>427</v>
      </c>
      <c r="C154" s="4" t="s">
        <v>484</v>
      </c>
      <c r="D154" s="4">
        <v>1</v>
      </c>
      <c r="E154" s="4">
        <v>1</v>
      </c>
      <c r="F154" s="15">
        <v>1</v>
      </c>
      <c r="G154" s="24" t="str">
        <f t="shared" si="2"/>
        <v>*TEMP0093*</v>
      </c>
      <c r="H154" t="s">
        <v>140</v>
      </c>
      <c r="I154" s="26"/>
      <c r="J154" s="4"/>
      <c r="K154" s="4"/>
      <c r="L154" s="4"/>
      <c r="M154" s="4"/>
      <c r="N154" s="21"/>
      <c r="O154"/>
    </row>
    <row r="155" spans="1:15" ht="51" x14ac:dyDescent="0.25">
      <c r="A155" s="4" t="s">
        <v>492</v>
      </c>
      <c r="B155" s="8" t="s">
        <v>428</v>
      </c>
      <c r="C155" s="4" t="s">
        <v>484</v>
      </c>
      <c r="D155" s="4">
        <v>1</v>
      </c>
      <c r="E155" s="4">
        <v>1</v>
      </c>
      <c r="F155" s="15">
        <v>1</v>
      </c>
      <c r="G155" s="24" t="str">
        <f t="shared" si="2"/>
        <v>*TEMP0094*</v>
      </c>
      <c r="H155" t="s">
        <v>140</v>
      </c>
      <c r="I155" s="26"/>
      <c r="J155" s="4"/>
      <c r="K155" s="4"/>
      <c r="L155" s="4"/>
      <c r="M155" s="4"/>
      <c r="N155" s="21"/>
      <c r="O155"/>
    </row>
    <row r="156" spans="1:15" ht="51" x14ac:dyDescent="0.25">
      <c r="A156" s="4" t="s">
        <v>493</v>
      </c>
      <c r="B156" s="8" t="s">
        <v>429</v>
      </c>
      <c r="C156" s="4" t="s">
        <v>484</v>
      </c>
      <c r="D156" s="4">
        <v>1</v>
      </c>
      <c r="E156" s="4">
        <v>1</v>
      </c>
      <c r="F156" s="15">
        <v>1</v>
      </c>
      <c r="G156" s="24" t="str">
        <f t="shared" si="2"/>
        <v>*TEMP0095*</v>
      </c>
      <c r="H156" t="s">
        <v>140</v>
      </c>
      <c r="I156" s="26"/>
      <c r="J156" s="4"/>
      <c r="K156" s="4"/>
      <c r="L156" s="4"/>
      <c r="M156" s="4"/>
      <c r="N156" s="21"/>
      <c r="O156"/>
    </row>
    <row r="157" spans="1:15" ht="51" x14ac:dyDescent="0.25">
      <c r="A157" s="4" t="s">
        <v>494</v>
      </c>
      <c r="B157" s="8" t="s">
        <v>430</v>
      </c>
      <c r="C157" s="4" t="s">
        <v>484</v>
      </c>
      <c r="D157" s="4">
        <v>1</v>
      </c>
      <c r="E157" s="4">
        <v>1</v>
      </c>
      <c r="F157" s="15">
        <v>1</v>
      </c>
      <c r="G157" s="24" t="str">
        <f t="shared" si="2"/>
        <v>*TEMP0096*</v>
      </c>
      <c r="H157" t="s">
        <v>140</v>
      </c>
      <c r="I157" s="26"/>
      <c r="J157" s="4"/>
      <c r="K157" s="4"/>
      <c r="L157" s="4"/>
      <c r="M157" s="4"/>
      <c r="N157" s="21"/>
      <c r="O157"/>
    </row>
    <row r="158" spans="1:15" ht="51" x14ac:dyDescent="0.25">
      <c r="A158" s="4" t="s">
        <v>495</v>
      </c>
      <c r="B158" s="8" t="s">
        <v>431</v>
      </c>
      <c r="C158" s="4" t="s">
        <v>484</v>
      </c>
      <c r="D158" s="4">
        <v>1</v>
      </c>
      <c r="E158" s="4">
        <v>1</v>
      </c>
      <c r="F158" s="15">
        <v>1</v>
      </c>
      <c r="G158" s="24" t="str">
        <f t="shared" si="2"/>
        <v>*TEMP0097*</v>
      </c>
      <c r="H158" t="s">
        <v>140</v>
      </c>
      <c r="I158" s="26"/>
      <c r="J158" s="4"/>
      <c r="K158" s="4"/>
      <c r="L158" s="4"/>
      <c r="M158" s="4"/>
      <c r="N158" s="21"/>
      <c r="O158"/>
    </row>
    <row r="159" spans="1:15" ht="51" x14ac:dyDescent="0.25">
      <c r="A159" s="32">
        <v>100416</v>
      </c>
      <c r="B159" s="33" t="s">
        <v>432</v>
      </c>
      <c r="C159" s="32" t="s">
        <v>485</v>
      </c>
      <c r="D159" s="4">
        <v>2</v>
      </c>
      <c r="E159" s="4">
        <v>4</v>
      </c>
      <c r="F159" s="15">
        <v>3</v>
      </c>
      <c r="G159" s="24" t="str">
        <f t="shared" si="2"/>
        <v>*100416*</v>
      </c>
      <c r="H159" t="s">
        <v>140</v>
      </c>
      <c r="I159" s="26"/>
      <c r="J159" s="4"/>
      <c r="K159" s="4"/>
      <c r="L159" s="4"/>
      <c r="M159" s="4"/>
      <c r="N159" s="21"/>
      <c r="O159"/>
    </row>
    <row r="160" spans="1:15" ht="51" x14ac:dyDescent="0.25">
      <c r="A160" s="4" t="s">
        <v>340</v>
      </c>
      <c r="B160" s="8" t="s">
        <v>433</v>
      </c>
      <c r="C160" s="4" t="s">
        <v>485</v>
      </c>
      <c r="D160" s="4">
        <v>2</v>
      </c>
      <c r="E160" s="4">
        <v>4</v>
      </c>
      <c r="F160" s="15">
        <v>3</v>
      </c>
      <c r="G160" s="24" t="str">
        <f t="shared" si="2"/>
        <v>*K100654*</v>
      </c>
      <c r="H160" t="s">
        <v>140</v>
      </c>
      <c r="I160" s="26"/>
      <c r="J160" s="4"/>
      <c r="K160" s="4"/>
      <c r="L160" s="4"/>
      <c r="M160" s="4"/>
      <c r="N160" s="21"/>
      <c r="O160"/>
    </row>
    <row r="161" spans="1:15" ht="51" x14ac:dyDescent="0.25">
      <c r="A161" s="4" t="s">
        <v>341</v>
      </c>
      <c r="B161" s="8" t="s">
        <v>434</v>
      </c>
      <c r="C161" s="4" t="s">
        <v>485</v>
      </c>
      <c r="D161" s="4">
        <v>1</v>
      </c>
      <c r="E161" s="4">
        <v>2</v>
      </c>
      <c r="F161" s="15">
        <v>2</v>
      </c>
      <c r="G161" s="24" t="str">
        <f t="shared" si="2"/>
        <v>*K101670*</v>
      </c>
      <c r="H161" t="s">
        <v>140</v>
      </c>
      <c r="I161" s="26"/>
      <c r="J161" s="4" t="s">
        <v>562</v>
      </c>
      <c r="K161" s="4"/>
      <c r="L161" s="4"/>
      <c r="M161" s="4"/>
      <c r="N161" s="21"/>
      <c r="O161"/>
    </row>
    <row r="162" spans="1:15" ht="51" x14ac:dyDescent="0.25">
      <c r="A162" s="4" t="s">
        <v>342</v>
      </c>
      <c r="B162" s="8" t="s">
        <v>435</v>
      </c>
      <c r="C162" s="4" t="s">
        <v>485</v>
      </c>
      <c r="D162" s="4">
        <v>2</v>
      </c>
      <c r="E162" s="4">
        <v>4</v>
      </c>
      <c r="F162" s="15">
        <v>4</v>
      </c>
      <c r="G162" s="24" t="str">
        <f t="shared" si="2"/>
        <v>*K101764*</v>
      </c>
      <c r="H162" t="s">
        <v>140</v>
      </c>
      <c r="I162" s="26"/>
      <c r="J162" s="4" t="s">
        <v>259</v>
      </c>
      <c r="K162" s="4"/>
      <c r="L162" s="4"/>
      <c r="M162" s="4"/>
      <c r="N162" s="21"/>
      <c r="O162"/>
    </row>
    <row r="163" spans="1:15" ht="51" x14ac:dyDescent="0.25">
      <c r="A163" s="4" t="s">
        <v>343</v>
      </c>
      <c r="B163" s="8" t="s">
        <v>436</v>
      </c>
      <c r="C163" s="4" t="s">
        <v>485</v>
      </c>
      <c r="D163" s="4">
        <v>2</v>
      </c>
      <c r="E163" s="4">
        <v>3</v>
      </c>
      <c r="F163" s="15">
        <v>8</v>
      </c>
      <c r="G163" s="24" t="str">
        <f t="shared" si="2"/>
        <v>*K25719*</v>
      </c>
      <c r="H163" t="s">
        <v>140</v>
      </c>
      <c r="I163" s="26"/>
      <c r="J163" s="4"/>
      <c r="K163" s="4"/>
      <c r="L163" s="4"/>
      <c r="M163" s="4"/>
      <c r="N163" s="21"/>
      <c r="O163"/>
    </row>
    <row r="164" spans="1:15" ht="51" x14ac:dyDescent="0.25">
      <c r="A164" s="4" t="s">
        <v>344</v>
      </c>
      <c r="B164" s="8" t="s">
        <v>437</v>
      </c>
      <c r="C164" s="4" t="s">
        <v>485</v>
      </c>
      <c r="D164" s="4">
        <v>2</v>
      </c>
      <c r="E164" s="4">
        <v>6</v>
      </c>
      <c r="F164" s="15">
        <v>14</v>
      </c>
      <c r="G164" s="24" t="str">
        <f t="shared" si="2"/>
        <v>*K25731*</v>
      </c>
      <c r="H164" t="s">
        <v>140</v>
      </c>
      <c r="I164" s="26"/>
      <c r="J164" s="4"/>
      <c r="K164" s="4"/>
      <c r="L164" s="4"/>
      <c r="M164" s="4"/>
      <c r="N164" s="21"/>
      <c r="O164"/>
    </row>
    <row r="165" spans="1:15" ht="51" x14ac:dyDescent="0.25">
      <c r="A165" s="4" t="s">
        <v>345</v>
      </c>
      <c r="B165" s="8" t="s">
        <v>438</v>
      </c>
      <c r="C165" s="4" t="s">
        <v>485</v>
      </c>
      <c r="D165" s="4">
        <v>1</v>
      </c>
      <c r="E165" s="4">
        <v>2</v>
      </c>
      <c r="F165" s="15">
        <v>2</v>
      </c>
      <c r="G165" s="24" t="str">
        <f t="shared" si="2"/>
        <v>*MA030-0057*</v>
      </c>
      <c r="H165" t="s">
        <v>140</v>
      </c>
      <c r="I165" s="26"/>
      <c r="J165" s="4"/>
      <c r="K165" s="4"/>
      <c r="L165" s="4"/>
      <c r="M165" s="4"/>
      <c r="N165" s="21"/>
      <c r="O165"/>
    </row>
    <row r="166" spans="1:15" ht="51" x14ac:dyDescent="0.25">
      <c r="A166" s="4" t="s">
        <v>584</v>
      </c>
      <c r="B166" s="8" t="s">
        <v>439</v>
      </c>
      <c r="C166" s="4" t="s">
        <v>485</v>
      </c>
      <c r="D166" s="4">
        <v>1</v>
      </c>
      <c r="E166" s="4">
        <v>1</v>
      </c>
      <c r="F166" s="15">
        <v>1</v>
      </c>
      <c r="G166" s="24" t="str">
        <f t="shared" si="2"/>
        <v>*TEMP0098*</v>
      </c>
      <c r="H166" t="s">
        <v>140</v>
      </c>
      <c r="I166" s="26"/>
      <c r="J166" s="4"/>
      <c r="K166" s="4"/>
      <c r="L166" s="4"/>
      <c r="M166" s="4"/>
      <c r="N166" s="21"/>
      <c r="O166"/>
    </row>
    <row r="167" spans="1:15" ht="51" x14ac:dyDescent="0.25">
      <c r="A167" s="4" t="s">
        <v>496</v>
      </c>
      <c r="B167" s="8" t="s">
        <v>440</v>
      </c>
      <c r="C167" s="4" t="s">
        <v>485</v>
      </c>
      <c r="D167" s="4">
        <v>2</v>
      </c>
      <c r="E167" s="4">
        <v>4</v>
      </c>
      <c r="F167" s="15">
        <v>4</v>
      </c>
      <c r="G167" s="24" t="str">
        <f t="shared" si="2"/>
        <v>*TEMP0099*</v>
      </c>
      <c r="H167" t="s">
        <v>140</v>
      </c>
      <c r="I167" s="26"/>
      <c r="J167" s="4" t="s">
        <v>568</v>
      </c>
      <c r="K167" s="4"/>
      <c r="L167" s="4"/>
      <c r="M167" s="4"/>
      <c r="N167" s="21"/>
      <c r="O167"/>
    </row>
    <row r="168" spans="1:15" ht="51" x14ac:dyDescent="0.25">
      <c r="A168" s="32" t="s">
        <v>346</v>
      </c>
      <c r="B168" s="33" t="s">
        <v>441</v>
      </c>
      <c r="C168" s="32" t="s">
        <v>486</v>
      </c>
      <c r="D168" s="4">
        <v>1</v>
      </c>
      <c r="E168" s="4">
        <v>1</v>
      </c>
      <c r="F168" s="15">
        <v>1</v>
      </c>
      <c r="G168" s="24" t="str">
        <f t="shared" si="2"/>
        <v>*K100847*</v>
      </c>
      <c r="H168" t="s">
        <v>140</v>
      </c>
      <c r="I168" s="26"/>
      <c r="J168" s="4" t="s">
        <v>568</v>
      </c>
      <c r="K168" s="4"/>
      <c r="L168" s="4"/>
      <c r="M168" s="4"/>
      <c r="N168" s="21"/>
      <c r="O168"/>
    </row>
    <row r="169" spans="1:15" ht="51" x14ac:dyDescent="0.25">
      <c r="A169" s="4" t="s">
        <v>347</v>
      </c>
      <c r="B169" s="8" t="s">
        <v>442</v>
      </c>
      <c r="C169" s="4" t="s">
        <v>486</v>
      </c>
      <c r="D169" s="4">
        <v>1</v>
      </c>
      <c r="E169" s="4">
        <v>2</v>
      </c>
      <c r="F169" s="15">
        <v>2</v>
      </c>
      <c r="G169" s="24" t="str">
        <f t="shared" si="2"/>
        <v>*K101745*</v>
      </c>
      <c r="H169" t="s">
        <v>140</v>
      </c>
      <c r="I169" s="26"/>
      <c r="J169" s="4"/>
      <c r="K169" s="4"/>
      <c r="L169" s="4"/>
      <c r="M169" s="4"/>
      <c r="N169" s="21"/>
      <c r="O169"/>
    </row>
    <row r="170" spans="1:15" ht="51" x14ac:dyDescent="0.25">
      <c r="A170" s="4" t="s">
        <v>348</v>
      </c>
      <c r="B170" s="8" t="s">
        <v>443</v>
      </c>
      <c r="C170" s="4" t="s">
        <v>486</v>
      </c>
      <c r="D170" s="4">
        <v>1</v>
      </c>
      <c r="E170" s="4">
        <v>2</v>
      </c>
      <c r="F170" s="15">
        <v>1</v>
      </c>
      <c r="G170" s="24" t="str">
        <f t="shared" si="2"/>
        <v>*K101765*</v>
      </c>
      <c r="H170" t="s">
        <v>140</v>
      </c>
      <c r="I170" s="26"/>
      <c r="J170" s="4"/>
      <c r="K170" s="4"/>
      <c r="L170" s="4"/>
      <c r="M170" s="4"/>
      <c r="N170" s="21"/>
      <c r="O170"/>
    </row>
    <row r="171" spans="1:15" ht="51" x14ac:dyDescent="0.25">
      <c r="A171" s="4" t="s">
        <v>349</v>
      </c>
      <c r="B171" s="8" t="s">
        <v>444</v>
      </c>
      <c r="C171" s="4" t="s">
        <v>486</v>
      </c>
      <c r="D171" s="4">
        <v>1</v>
      </c>
      <c r="E171" s="4">
        <v>2</v>
      </c>
      <c r="F171" s="15">
        <v>2</v>
      </c>
      <c r="G171" s="24" t="str">
        <f t="shared" si="2"/>
        <v>*K13471*</v>
      </c>
      <c r="H171" t="s">
        <v>140</v>
      </c>
      <c r="I171" s="26"/>
      <c r="J171" s="4"/>
      <c r="K171" s="4"/>
      <c r="L171" s="4"/>
      <c r="M171" s="4"/>
      <c r="N171" s="21"/>
      <c r="O171"/>
    </row>
    <row r="172" spans="1:15" ht="51" x14ac:dyDescent="0.25">
      <c r="A172" s="4" t="s">
        <v>350</v>
      </c>
      <c r="B172" s="8" t="s">
        <v>445</v>
      </c>
      <c r="C172" s="4" t="s">
        <v>486</v>
      </c>
      <c r="D172" s="4">
        <v>1</v>
      </c>
      <c r="E172" s="4">
        <v>1</v>
      </c>
      <c r="F172" s="15">
        <v>1</v>
      </c>
      <c r="G172" s="24" t="str">
        <f t="shared" si="2"/>
        <v>*K55049*</v>
      </c>
      <c r="H172" t="s">
        <v>140</v>
      </c>
      <c r="I172" s="26"/>
      <c r="J172" s="4"/>
      <c r="K172" s="4"/>
      <c r="L172" s="4"/>
      <c r="M172" s="4"/>
      <c r="N172" s="21"/>
      <c r="O172"/>
    </row>
    <row r="173" spans="1:15" ht="51" x14ac:dyDescent="0.25">
      <c r="A173" s="4" t="s">
        <v>497</v>
      </c>
      <c r="B173" s="8" t="s">
        <v>446</v>
      </c>
      <c r="C173" s="4" t="s">
        <v>486</v>
      </c>
      <c r="D173" s="4">
        <v>1</v>
      </c>
      <c r="E173" s="4">
        <v>2</v>
      </c>
      <c r="F173" s="15">
        <v>2</v>
      </c>
      <c r="G173" s="24" t="str">
        <f t="shared" si="2"/>
        <v>*TEMP0100*</v>
      </c>
      <c r="H173" t="s">
        <v>140</v>
      </c>
      <c r="I173" s="26"/>
      <c r="J173" s="4"/>
      <c r="K173" s="4"/>
      <c r="L173" s="4"/>
      <c r="M173" s="4"/>
      <c r="N173" s="21"/>
      <c r="O173"/>
    </row>
    <row r="174" spans="1:15" ht="51" x14ac:dyDescent="0.25">
      <c r="A174" s="4" t="s">
        <v>498</v>
      </c>
      <c r="B174" s="8" t="s">
        <v>447</v>
      </c>
      <c r="C174" s="4" t="s">
        <v>486</v>
      </c>
      <c r="D174" s="4">
        <v>1</v>
      </c>
      <c r="E174" s="4">
        <v>3</v>
      </c>
      <c r="F174" s="15">
        <v>3</v>
      </c>
      <c r="G174" s="24" t="str">
        <f t="shared" si="2"/>
        <v>*TEMP0101*</v>
      </c>
      <c r="H174" t="s">
        <v>140</v>
      </c>
      <c r="I174" s="26"/>
      <c r="J174" s="4" t="s">
        <v>568</v>
      </c>
      <c r="K174" s="4"/>
      <c r="L174" s="4"/>
      <c r="M174" s="4"/>
      <c r="N174" s="21"/>
      <c r="O174"/>
    </row>
    <row r="175" spans="1:15" ht="51" x14ac:dyDescent="0.25">
      <c r="A175" s="4" t="s">
        <v>499</v>
      </c>
      <c r="B175" s="8" t="s">
        <v>448</v>
      </c>
      <c r="C175" s="4" t="s">
        <v>486</v>
      </c>
      <c r="D175" s="4">
        <v>1</v>
      </c>
      <c r="E175" s="4">
        <v>1</v>
      </c>
      <c r="F175" s="15">
        <v>1</v>
      </c>
      <c r="G175" s="24" t="str">
        <f t="shared" si="2"/>
        <v>*TEMP0102*</v>
      </c>
      <c r="H175" t="s">
        <v>140</v>
      </c>
      <c r="I175" s="26"/>
      <c r="J175" s="4" t="s">
        <v>570</v>
      </c>
      <c r="K175" s="4"/>
      <c r="L175" s="4"/>
      <c r="M175" s="4"/>
      <c r="N175" s="21"/>
      <c r="O175"/>
    </row>
    <row r="176" spans="1:15" ht="51" x14ac:dyDescent="0.25">
      <c r="A176" s="4" t="s">
        <v>500</v>
      </c>
      <c r="B176" s="8" t="s">
        <v>449</v>
      </c>
      <c r="C176" s="4" t="s">
        <v>486</v>
      </c>
      <c r="D176" s="4">
        <v>1</v>
      </c>
      <c r="E176" s="4">
        <v>2</v>
      </c>
      <c r="F176" s="15">
        <v>2</v>
      </c>
      <c r="G176" s="24" t="str">
        <f t="shared" si="2"/>
        <v>*TEMP0103*</v>
      </c>
      <c r="H176" t="s">
        <v>140</v>
      </c>
      <c r="I176" s="26"/>
      <c r="J176" s="4"/>
      <c r="K176" s="4"/>
      <c r="L176" s="4"/>
      <c r="M176" s="4"/>
      <c r="N176" s="21"/>
      <c r="O176"/>
    </row>
    <row r="177" spans="1:15" ht="51" x14ac:dyDescent="0.25">
      <c r="A177" s="4" t="s">
        <v>501</v>
      </c>
      <c r="B177" s="8" t="s">
        <v>450</v>
      </c>
      <c r="C177" s="4" t="s">
        <v>486</v>
      </c>
      <c r="D177" s="4">
        <v>2</v>
      </c>
      <c r="E177" s="4">
        <v>4</v>
      </c>
      <c r="F177" s="15">
        <v>5</v>
      </c>
      <c r="G177" s="24" t="str">
        <f t="shared" si="2"/>
        <v>*TEMP0104*</v>
      </c>
      <c r="H177" t="s">
        <v>140</v>
      </c>
      <c r="I177" s="26"/>
      <c r="J177" s="4"/>
      <c r="K177" s="4"/>
      <c r="L177" s="4"/>
      <c r="M177" s="4"/>
      <c r="N177" s="21"/>
      <c r="O177"/>
    </row>
    <row r="178" spans="1:15" ht="51" x14ac:dyDescent="0.25">
      <c r="A178" s="4" t="s">
        <v>502</v>
      </c>
      <c r="B178" s="8" t="s">
        <v>451</v>
      </c>
      <c r="C178" s="4" t="s">
        <v>486</v>
      </c>
      <c r="D178" s="4">
        <v>1</v>
      </c>
      <c r="E178" s="4">
        <v>2</v>
      </c>
      <c r="F178" s="15">
        <v>2</v>
      </c>
      <c r="G178" s="24" t="str">
        <f t="shared" si="2"/>
        <v>*TEMP0105*</v>
      </c>
      <c r="H178" t="s">
        <v>140</v>
      </c>
      <c r="I178" s="26"/>
      <c r="J178" s="4"/>
      <c r="K178" s="4"/>
      <c r="L178" s="4"/>
      <c r="M178" s="4"/>
      <c r="N178" s="21"/>
      <c r="O178"/>
    </row>
    <row r="179" spans="1:15" ht="51" x14ac:dyDescent="0.25">
      <c r="A179" s="32" t="s">
        <v>351</v>
      </c>
      <c r="B179" s="33" t="s">
        <v>452</v>
      </c>
      <c r="C179" s="32" t="s">
        <v>487</v>
      </c>
      <c r="D179" s="4">
        <v>1</v>
      </c>
      <c r="E179" s="4">
        <v>2</v>
      </c>
      <c r="F179" s="15">
        <v>2</v>
      </c>
      <c r="G179" s="24" t="str">
        <f t="shared" si="2"/>
        <v>*K100307*</v>
      </c>
      <c r="H179" t="s">
        <v>140</v>
      </c>
      <c r="I179" s="26"/>
      <c r="J179" s="4"/>
      <c r="K179" s="4"/>
      <c r="L179" s="4"/>
      <c r="M179" s="4"/>
      <c r="N179" s="21"/>
      <c r="O179"/>
    </row>
    <row r="180" spans="1:15" ht="51" x14ac:dyDescent="0.25">
      <c r="A180" s="4" t="s">
        <v>352</v>
      </c>
      <c r="B180" s="8" t="s">
        <v>453</v>
      </c>
      <c r="C180" s="4" t="s">
        <v>487</v>
      </c>
      <c r="D180" s="4">
        <v>2</v>
      </c>
      <c r="E180" s="4">
        <v>4</v>
      </c>
      <c r="F180" s="15">
        <v>4</v>
      </c>
      <c r="G180" s="24" t="str">
        <f t="shared" si="2"/>
        <v>*K100399*</v>
      </c>
      <c r="H180" t="s">
        <v>140</v>
      </c>
      <c r="I180" s="26"/>
      <c r="J180" s="4"/>
      <c r="K180" s="4"/>
      <c r="L180" s="4"/>
      <c r="M180" s="4"/>
      <c r="N180" s="21"/>
      <c r="O180"/>
    </row>
    <row r="181" spans="1:15" ht="51" x14ac:dyDescent="0.25">
      <c r="A181" s="4" t="s">
        <v>353</v>
      </c>
      <c r="B181" s="8" t="s">
        <v>454</v>
      </c>
      <c r="C181" s="4" t="s">
        <v>487</v>
      </c>
      <c r="D181" s="4">
        <v>2</v>
      </c>
      <c r="E181" s="4">
        <v>4</v>
      </c>
      <c r="F181" s="15">
        <v>2</v>
      </c>
      <c r="G181" s="24" t="str">
        <f t="shared" si="2"/>
        <v>*K51005*</v>
      </c>
      <c r="H181" t="s">
        <v>140</v>
      </c>
      <c r="I181" s="26"/>
      <c r="J181" s="4"/>
      <c r="K181" s="4"/>
      <c r="L181" s="4"/>
      <c r="M181" s="4"/>
      <c r="N181" s="21"/>
      <c r="O181"/>
    </row>
    <row r="182" spans="1:15" ht="51" x14ac:dyDescent="0.25">
      <c r="A182" s="4" t="s">
        <v>354</v>
      </c>
      <c r="B182" s="8" t="s">
        <v>455</v>
      </c>
      <c r="C182" s="4" t="s">
        <v>487</v>
      </c>
      <c r="D182" s="4">
        <v>1</v>
      </c>
      <c r="E182" s="4">
        <v>2</v>
      </c>
      <c r="F182" s="15">
        <v>2</v>
      </c>
      <c r="G182" s="24" t="str">
        <f t="shared" si="2"/>
        <v>*K51017*</v>
      </c>
      <c r="H182" t="s">
        <v>140</v>
      </c>
      <c r="I182" s="26"/>
      <c r="J182" s="4"/>
      <c r="K182" s="4"/>
      <c r="L182" s="4"/>
      <c r="M182" s="4"/>
      <c r="N182" s="21"/>
      <c r="O182"/>
    </row>
    <row r="183" spans="1:15" ht="51" x14ac:dyDescent="0.25">
      <c r="A183" s="4" t="s">
        <v>503</v>
      </c>
      <c r="B183" s="8" t="s">
        <v>456</v>
      </c>
      <c r="C183" s="4" t="s">
        <v>487</v>
      </c>
      <c r="D183" s="4">
        <v>1</v>
      </c>
      <c r="E183" s="4">
        <v>2</v>
      </c>
      <c r="F183" s="15">
        <v>2</v>
      </c>
      <c r="G183" s="24" t="str">
        <f t="shared" si="2"/>
        <v>*TEMP0106*</v>
      </c>
      <c r="H183" t="s">
        <v>140</v>
      </c>
      <c r="I183" s="26"/>
      <c r="J183" s="4" t="s">
        <v>571</v>
      </c>
      <c r="K183" s="4"/>
      <c r="L183" s="4"/>
      <c r="M183" s="4"/>
      <c r="N183" s="21"/>
      <c r="O183"/>
    </row>
    <row r="184" spans="1:15" ht="51" x14ac:dyDescent="0.25">
      <c r="A184" s="4" t="s">
        <v>504</v>
      </c>
      <c r="B184" s="8" t="s">
        <v>457</v>
      </c>
      <c r="C184" s="4" t="s">
        <v>487</v>
      </c>
      <c r="D184" s="4">
        <v>2</v>
      </c>
      <c r="E184" s="4">
        <v>4</v>
      </c>
      <c r="F184" s="15">
        <v>4</v>
      </c>
      <c r="G184" s="24" t="str">
        <f t="shared" si="2"/>
        <v>*TEMP0107*</v>
      </c>
      <c r="H184" t="s">
        <v>140</v>
      </c>
      <c r="I184" s="26"/>
      <c r="J184" s="4" t="s">
        <v>570</v>
      </c>
      <c r="K184" s="4"/>
      <c r="L184" s="4"/>
      <c r="M184" s="4"/>
      <c r="N184" s="21"/>
      <c r="O184"/>
    </row>
    <row r="185" spans="1:15" ht="51" x14ac:dyDescent="0.25">
      <c r="A185" s="4" t="s">
        <v>505</v>
      </c>
      <c r="B185" s="8" t="s">
        <v>458</v>
      </c>
      <c r="C185" s="4" t="s">
        <v>487</v>
      </c>
      <c r="D185" s="4">
        <v>1</v>
      </c>
      <c r="E185" s="4">
        <v>1</v>
      </c>
      <c r="F185" s="15">
        <v>1</v>
      </c>
      <c r="G185" s="24" t="str">
        <f t="shared" si="2"/>
        <v>*TEMP0108*</v>
      </c>
      <c r="H185" t="s">
        <v>140</v>
      </c>
      <c r="I185" s="26"/>
      <c r="J185" s="4"/>
      <c r="K185" s="4"/>
      <c r="L185" s="4"/>
      <c r="M185" s="4"/>
      <c r="N185" s="21"/>
      <c r="O185"/>
    </row>
    <row r="186" spans="1:15" ht="51" x14ac:dyDescent="0.25">
      <c r="A186" s="4" t="s">
        <v>506</v>
      </c>
      <c r="B186" s="8" t="s">
        <v>459</v>
      </c>
      <c r="C186" s="4" t="s">
        <v>487</v>
      </c>
      <c r="D186" s="4">
        <v>1</v>
      </c>
      <c r="E186" s="4">
        <v>2</v>
      </c>
      <c r="F186" s="15">
        <v>3</v>
      </c>
      <c r="G186" s="24" t="str">
        <f t="shared" si="2"/>
        <v>*TEMP0109*</v>
      </c>
      <c r="H186" t="s">
        <v>140</v>
      </c>
      <c r="I186" s="26"/>
      <c r="J186" s="4"/>
      <c r="K186" s="4"/>
      <c r="L186" s="4"/>
      <c r="M186" s="4"/>
      <c r="N186" s="21"/>
      <c r="O186"/>
    </row>
    <row r="187" spans="1:15" ht="51" x14ac:dyDescent="0.25">
      <c r="A187" s="4" t="s">
        <v>507</v>
      </c>
      <c r="B187" s="8" t="s">
        <v>460</v>
      </c>
      <c r="C187" s="4" t="s">
        <v>487</v>
      </c>
      <c r="D187" s="4">
        <v>1</v>
      </c>
      <c r="E187" s="4">
        <v>2</v>
      </c>
      <c r="F187" s="15">
        <v>2</v>
      </c>
      <c r="G187" s="24" t="str">
        <f t="shared" si="2"/>
        <v>*TEMP0110*</v>
      </c>
      <c r="H187" t="s">
        <v>140</v>
      </c>
      <c r="I187" s="26"/>
      <c r="J187" s="4"/>
      <c r="K187" s="4"/>
      <c r="L187" s="4"/>
      <c r="M187" s="4"/>
      <c r="N187" s="21"/>
      <c r="O187"/>
    </row>
    <row r="188" spans="1:15" ht="51" x14ac:dyDescent="0.25">
      <c r="A188" s="4" t="s">
        <v>508</v>
      </c>
      <c r="B188" s="8" t="s">
        <v>461</v>
      </c>
      <c r="C188" s="4" t="s">
        <v>487</v>
      </c>
      <c r="D188" s="4">
        <v>1</v>
      </c>
      <c r="E188" s="4">
        <v>1</v>
      </c>
      <c r="F188" s="15">
        <v>1</v>
      </c>
      <c r="G188" s="24" t="str">
        <f t="shared" si="2"/>
        <v>*TEMP0111*</v>
      </c>
      <c r="H188" t="s">
        <v>140</v>
      </c>
      <c r="I188" s="26"/>
      <c r="J188" s="4"/>
      <c r="K188" s="4"/>
      <c r="L188" s="4"/>
      <c r="M188" s="4"/>
      <c r="N188" s="21"/>
      <c r="O188"/>
    </row>
    <row r="189" spans="1:15" ht="51" x14ac:dyDescent="0.25">
      <c r="A189" s="4" t="s">
        <v>509</v>
      </c>
      <c r="B189" s="8" t="s">
        <v>460</v>
      </c>
      <c r="C189" s="4" t="s">
        <v>487</v>
      </c>
      <c r="D189" s="4">
        <v>1</v>
      </c>
      <c r="E189" s="4">
        <v>1</v>
      </c>
      <c r="F189" s="15">
        <v>1</v>
      </c>
      <c r="G189" s="24" t="str">
        <f t="shared" si="2"/>
        <v>*TEMP0112*</v>
      </c>
      <c r="H189" t="s">
        <v>140</v>
      </c>
      <c r="I189" s="26"/>
      <c r="J189" s="4"/>
      <c r="K189" s="4"/>
      <c r="L189" s="4"/>
      <c r="M189" s="4"/>
      <c r="N189" s="21"/>
      <c r="O189"/>
    </row>
    <row r="190" spans="1:15" ht="51" x14ac:dyDescent="0.25">
      <c r="A190" s="4" t="s">
        <v>510</v>
      </c>
      <c r="B190" s="8" t="s">
        <v>458</v>
      </c>
      <c r="C190" s="4" t="s">
        <v>487</v>
      </c>
      <c r="D190" s="4">
        <v>1</v>
      </c>
      <c r="E190" s="4">
        <v>1</v>
      </c>
      <c r="F190" s="15">
        <v>1</v>
      </c>
      <c r="G190" s="24" t="str">
        <f t="shared" si="2"/>
        <v>*TEMP0113*</v>
      </c>
      <c r="H190" t="s">
        <v>140</v>
      </c>
      <c r="I190" s="26"/>
      <c r="J190" s="4"/>
      <c r="K190" s="4"/>
      <c r="L190" s="4"/>
      <c r="M190" s="4"/>
      <c r="N190" s="21"/>
      <c r="O190"/>
    </row>
    <row r="191" spans="1:15" ht="51" x14ac:dyDescent="0.25">
      <c r="A191" s="4" t="s">
        <v>511</v>
      </c>
      <c r="B191" s="8" t="s">
        <v>462</v>
      </c>
      <c r="C191" s="4" t="s">
        <v>487</v>
      </c>
      <c r="D191" s="4">
        <v>1</v>
      </c>
      <c r="E191" s="4">
        <v>2</v>
      </c>
      <c r="F191" s="15">
        <v>2</v>
      </c>
      <c r="G191" s="24" t="str">
        <f t="shared" si="2"/>
        <v>*TEMP0114*</v>
      </c>
      <c r="H191" t="s">
        <v>140</v>
      </c>
      <c r="I191" s="26"/>
      <c r="J191" s="4"/>
      <c r="K191" s="4"/>
      <c r="L191" s="4"/>
      <c r="M191" s="4"/>
      <c r="N191" s="21"/>
      <c r="O191"/>
    </row>
    <row r="192" spans="1:15" ht="51" x14ac:dyDescent="0.25">
      <c r="A192" s="4" t="s">
        <v>512</v>
      </c>
      <c r="B192" s="8" t="s">
        <v>463</v>
      </c>
      <c r="C192" s="4" t="s">
        <v>487</v>
      </c>
      <c r="D192" s="4">
        <v>2</v>
      </c>
      <c r="E192" s="4">
        <v>4</v>
      </c>
      <c r="F192" s="15">
        <v>6</v>
      </c>
      <c r="G192" s="24" t="str">
        <f t="shared" si="2"/>
        <v>*TEMP0115*</v>
      </c>
      <c r="H192" t="s">
        <v>140</v>
      </c>
      <c r="I192" s="26"/>
      <c r="J192" s="4"/>
      <c r="K192" s="4"/>
      <c r="L192" s="4"/>
      <c r="M192" s="4"/>
      <c r="N192" s="21"/>
      <c r="O192"/>
    </row>
    <row r="193" spans="1:15" ht="51" x14ac:dyDescent="0.25">
      <c r="A193" s="4" t="s">
        <v>513</v>
      </c>
      <c r="B193" s="8" t="s">
        <v>464</v>
      </c>
      <c r="C193" s="4" t="s">
        <v>487</v>
      </c>
      <c r="D193" s="4">
        <v>2</v>
      </c>
      <c r="E193" s="4">
        <v>12</v>
      </c>
      <c r="F193" s="15">
        <v>12</v>
      </c>
      <c r="G193" s="24" t="str">
        <f t="shared" si="2"/>
        <v>*TEMP0116*</v>
      </c>
      <c r="H193" t="s">
        <v>140</v>
      </c>
      <c r="I193" s="26"/>
      <c r="J193" s="4"/>
      <c r="K193" s="4"/>
      <c r="L193" s="4"/>
      <c r="M193" s="4"/>
      <c r="N193" s="21"/>
      <c r="O193"/>
    </row>
    <row r="194" spans="1:15" ht="51" x14ac:dyDescent="0.25">
      <c r="A194" s="32" t="s">
        <v>355</v>
      </c>
      <c r="B194" s="33" t="s">
        <v>465</v>
      </c>
      <c r="C194" s="32" t="s">
        <v>488</v>
      </c>
      <c r="D194" s="4">
        <v>2</v>
      </c>
      <c r="E194" s="4">
        <v>4</v>
      </c>
      <c r="F194" s="15">
        <v>6</v>
      </c>
      <c r="G194" s="24" t="str">
        <f t="shared" ref="G194:G249" si="3">"*"&amp;A194&amp;"*"</f>
        <v>*K100402*</v>
      </c>
      <c r="H194" t="s">
        <v>140</v>
      </c>
      <c r="I194" s="26"/>
      <c r="J194" s="4"/>
      <c r="K194" s="4"/>
      <c r="L194" s="4"/>
      <c r="M194" s="4"/>
      <c r="N194" s="21"/>
      <c r="O194"/>
    </row>
    <row r="195" spans="1:15" ht="51" x14ac:dyDescent="0.25">
      <c r="A195" s="4" t="s">
        <v>356</v>
      </c>
      <c r="B195" s="8" t="s">
        <v>466</v>
      </c>
      <c r="C195" s="4" t="s">
        <v>488</v>
      </c>
      <c r="D195" s="4">
        <v>2</v>
      </c>
      <c r="E195" s="4">
        <v>6</v>
      </c>
      <c r="F195" s="15">
        <v>11</v>
      </c>
      <c r="G195" s="24" t="str">
        <f t="shared" si="3"/>
        <v>*K102463*</v>
      </c>
      <c r="H195" t="s">
        <v>140</v>
      </c>
      <c r="I195" s="26"/>
      <c r="J195" s="4"/>
      <c r="K195" s="4"/>
      <c r="L195" s="4"/>
      <c r="M195" s="4"/>
      <c r="N195" s="21"/>
      <c r="O195"/>
    </row>
    <row r="196" spans="1:15" ht="51" x14ac:dyDescent="0.25">
      <c r="A196" s="4" t="s">
        <v>357</v>
      </c>
      <c r="B196" s="8" t="s">
        <v>467</v>
      </c>
      <c r="C196" s="4" t="s">
        <v>488</v>
      </c>
      <c r="D196" s="4">
        <v>2</v>
      </c>
      <c r="E196" s="4">
        <v>6</v>
      </c>
      <c r="F196" s="15">
        <v>5</v>
      </c>
      <c r="G196" s="24" t="str">
        <f t="shared" si="3"/>
        <v>*K25677*</v>
      </c>
      <c r="H196" t="s">
        <v>140</v>
      </c>
      <c r="I196" s="26"/>
      <c r="J196" s="4"/>
      <c r="K196" s="4"/>
      <c r="L196" s="4"/>
      <c r="M196" s="4"/>
      <c r="N196" s="21"/>
      <c r="O196"/>
    </row>
    <row r="197" spans="1:15" ht="51" x14ac:dyDescent="0.25">
      <c r="A197" s="4" t="s">
        <v>358</v>
      </c>
      <c r="B197" s="8" t="s">
        <v>468</v>
      </c>
      <c r="C197" s="4" t="s">
        <v>488</v>
      </c>
      <c r="D197" s="4">
        <v>2</v>
      </c>
      <c r="E197" s="4">
        <v>4</v>
      </c>
      <c r="F197" s="15">
        <v>3</v>
      </c>
      <c r="G197" s="24" t="str">
        <f t="shared" si="3"/>
        <v>*K25679*</v>
      </c>
      <c r="H197" t="s">
        <v>140</v>
      </c>
      <c r="I197" s="26"/>
      <c r="J197" s="4"/>
      <c r="K197" s="4"/>
      <c r="L197" s="4"/>
      <c r="M197" s="4"/>
      <c r="N197" s="21"/>
      <c r="O197"/>
    </row>
    <row r="198" spans="1:15" ht="51" x14ac:dyDescent="0.25">
      <c r="A198" s="4" t="s">
        <v>359</v>
      </c>
      <c r="B198" s="8" t="s">
        <v>469</v>
      </c>
      <c r="C198" s="4" t="s">
        <v>488</v>
      </c>
      <c r="D198" s="4">
        <v>2</v>
      </c>
      <c r="E198" s="4">
        <v>4</v>
      </c>
      <c r="F198" s="15">
        <v>6</v>
      </c>
      <c r="G198" s="24" t="str">
        <f t="shared" si="3"/>
        <v>*K25680*</v>
      </c>
      <c r="H198" t="s">
        <v>140</v>
      </c>
      <c r="I198" s="26"/>
      <c r="J198" s="4"/>
      <c r="K198" s="4"/>
      <c r="L198" s="4"/>
      <c r="M198" s="4"/>
      <c r="N198" s="21"/>
      <c r="O198"/>
    </row>
    <row r="199" spans="1:15" ht="51" x14ac:dyDescent="0.25">
      <c r="A199" s="4" t="s">
        <v>360</v>
      </c>
      <c r="B199" s="8" t="s">
        <v>470</v>
      </c>
      <c r="C199" s="4" t="s">
        <v>488</v>
      </c>
      <c r="D199" s="4">
        <v>2</v>
      </c>
      <c r="E199" s="4">
        <v>4</v>
      </c>
      <c r="F199" s="15">
        <v>5</v>
      </c>
      <c r="G199" s="24" t="str">
        <f t="shared" si="3"/>
        <v>*K25681*</v>
      </c>
      <c r="H199" t="s">
        <v>140</v>
      </c>
      <c r="I199" s="26"/>
      <c r="J199" s="4"/>
      <c r="K199" s="4"/>
      <c r="L199" s="4"/>
      <c r="M199" s="4"/>
      <c r="N199" s="21"/>
      <c r="O199"/>
    </row>
    <row r="200" spans="1:15" ht="51" x14ac:dyDescent="0.25">
      <c r="A200" s="4" t="s">
        <v>361</v>
      </c>
      <c r="B200" s="8" t="s">
        <v>471</v>
      </c>
      <c r="C200" s="4" t="s">
        <v>488</v>
      </c>
      <c r="D200" s="4">
        <v>2</v>
      </c>
      <c r="E200" s="4">
        <v>6</v>
      </c>
      <c r="F200" s="15">
        <v>5</v>
      </c>
      <c r="G200" s="24" t="str">
        <f t="shared" si="3"/>
        <v>*K25682*</v>
      </c>
      <c r="H200" t="s">
        <v>140</v>
      </c>
      <c r="I200" s="26"/>
      <c r="J200" s="4"/>
      <c r="K200" s="4"/>
      <c r="L200" s="4"/>
      <c r="M200" s="4"/>
      <c r="N200" s="21"/>
      <c r="O200"/>
    </row>
    <row r="201" spans="1:15" ht="51" x14ac:dyDescent="0.25">
      <c r="A201" s="4" t="s">
        <v>362</v>
      </c>
      <c r="B201" s="8" t="s">
        <v>472</v>
      </c>
      <c r="C201" s="4" t="s">
        <v>488</v>
      </c>
      <c r="D201" s="4">
        <v>2</v>
      </c>
      <c r="E201" s="4">
        <v>4</v>
      </c>
      <c r="F201" s="15">
        <v>3</v>
      </c>
      <c r="G201" s="24" t="str">
        <f t="shared" si="3"/>
        <v>*K25684*</v>
      </c>
      <c r="H201" t="s">
        <v>140</v>
      </c>
      <c r="I201" s="26"/>
      <c r="J201" s="4"/>
      <c r="K201" s="4"/>
      <c r="L201" s="4"/>
      <c r="M201" s="4"/>
      <c r="N201" s="21"/>
      <c r="O201"/>
    </row>
    <row r="202" spans="1:15" ht="51" x14ac:dyDescent="0.25">
      <c r="A202" s="4" t="s">
        <v>363</v>
      </c>
      <c r="B202" s="8" t="s">
        <v>473</v>
      </c>
      <c r="C202" s="4" t="s">
        <v>488</v>
      </c>
      <c r="D202" s="4">
        <v>1</v>
      </c>
      <c r="E202" s="4">
        <v>4</v>
      </c>
      <c r="F202" s="15">
        <v>4</v>
      </c>
      <c r="G202" s="24" t="str">
        <f t="shared" si="3"/>
        <v>*K25734*</v>
      </c>
      <c r="H202" t="s">
        <v>140</v>
      </c>
      <c r="I202" s="26"/>
      <c r="J202" s="4"/>
      <c r="K202" s="4"/>
      <c r="L202" s="4"/>
      <c r="M202" s="4"/>
      <c r="N202" s="21"/>
      <c r="O202"/>
    </row>
    <row r="203" spans="1:15" ht="51" x14ac:dyDescent="0.25">
      <c r="A203" s="4" t="s">
        <v>364</v>
      </c>
      <c r="B203" s="8" t="s">
        <v>474</v>
      </c>
      <c r="C203" s="4" t="s">
        <v>488</v>
      </c>
      <c r="D203" s="4">
        <v>2</v>
      </c>
      <c r="E203" s="4">
        <v>4</v>
      </c>
      <c r="F203" s="15">
        <v>3</v>
      </c>
      <c r="G203" s="24" t="str">
        <f t="shared" si="3"/>
        <v>*MA050-1032*</v>
      </c>
      <c r="H203" t="s">
        <v>140</v>
      </c>
      <c r="I203" s="26"/>
      <c r="J203" s="4"/>
      <c r="K203" s="4"/>
      <c r="L203" s="4"/>
      <c r="M203" s="4"/>
      <c r="N203" s="21"/>
      <c r="O203"/>
    </row>
    <row r="204" spans="1:15" ht="51" x14ac:dyDescent="0.25">
      <c r="A204" s="4" t="s">
        <v>514</v>
      </c>
      <c r="B204" s="8" t="s">
        <v>475</v>
      </c>
      <c r="C204" s="4" t="s">
        <v>488</v>
      </c>
      <c r="D204" s="4">
        <v>1</v>
      </c>
      <c r="E204" s="4">
        <v>3</v>
      </c>
      <c r="F204" s="15">
        <v>3</v>
      </c>
      <c r="G204" s="24" t="str">
        <f t="shared" si="3"/>
        <v>*TEMP0117*</v>
      </c>
      <c r="H204" t="s">
        <v>140</v>
      </c>
      <c r="I204" s="26"/>
      <c r="J204" s="4"/>
      <c r="K204" s="4"/>
      <c r="L204" s="4"/>
      <c r="M204" s="4"/>
      <c r="N204" s="21"/>
      <c r="O204"/>
    </row>
    <row r="205" spans="1:15" ht="51" x14ac:dyDescent="0.25">
      <c r="A205" s="4" t="s">
        <v>515</v>
      </c>
      <c r="B205" s="8" t="s">
        <v>476</v>
      </c>
      <c r="C205" s="4" t="s">
        <v>488</v>
      </c>
      <c r="D205" s="4">
        <v>2</v>
      </c>
      <c r="E205" s="4">
        <v>4</v>
      </c>
      <c r="F205" s="15">
        <v>3</v>
      </c>
      <c r="G205" s="24" t="str">
        <f t="shared" si="3"/>
        <v>*TEMP0118*</v>
      </c>
      <c r="H205" t="s">
        <v>140</v>
      </c>
      <c r="I205" s="26"/>
      <c r="J205" s="4"/>
      <c r="K205" s="4"/>
      <c r="L205" s="4"/>
      <c r="M205" s="4"/>
      <c r="N205" s="21"/>
      <c r="O205"/>
    </row>
    <row r="206" spans="1:15" ht="51" x14ac:dyDescent="0.25">
      <c r="A206" s="4" t="s">
        <v>516</v>
      </c>
      <c r="B206" s="8" t="s">
        <v>477</v>
      </c>
      <c r="C206" s="4" t="s">
        <v>488</v>
      </c>
      <c r="D206" s="4">
        <v>2</v>
      </c>
      <c r="E206" s="4">
        <v>6</v>
      </c>
      <c r="F206" s="15">
        <v>10</v>
      </c>
      <c r="G206" s="24" t="str">
        <f t="shared" si="3"/>
        <v>*TEMP0119*</v>
      </c>
      <c r="H206" t="s">
        <v>140</v>
      </c>
      <c r="I206" s="26"/>
      <c r="J206" s="4"/>
      <c r="K206" s="4"/>
      <c r="L206" s="4"/>
      <c r="M206" s="4"/>
      <c r="N206" s="21"/>
      <c r="O206"/>
    </row>
    <row r="207" spans="1:15" ht="51" x14ac:dyDescent="0.25">
      <c r="A207" s="32" t="s">
        <v>349</v>
      </c>
      <c r="B207" s="33" t="s">
        <v>444</v>
      </c>
      <c r="C207" s="32" t="s">
        <v>489</v>
      </c>
      <c r="D207" s="4">
        <v>2</v>
      </c>
      <c r="E207" s="4">
        <v>4</v>
      </c>
      <c r="F207" s="15">
        <v>8</v>
      </c>
      <c r="G207" s="24" t="str">
        <f t="shared" si="3"/>
        <v>*K13471*</v>
      </c>
      <c r="H207" t="s">
        <v>140</v>
      </c>
      <c r="I207" s="26"/>
      <c r="J207" s="4"/>
      <c r="K207" s="4"/>
      <c r="L207" s="4"/>
      <c r="M207" s="4"/>
      <c r="N207" s="21"/>
      <c r="O207"/>
    </row>
    <row r="208" spans="1:15" ht="51" x14ac:dyDescent="0.25">
      <c r="A208" s="4" t="s">
        <v>365</v>
      </c>
      <c r="B208" s="8" t="s">
        <v>478</v>
      </c>
      <c r="C208" s="4" t="s">
        <v>489</v>
      </c>
      <c r="D208" s="4">
        <v>1</v>
      </c>
      <c r="E208" s="4">
        <v>2</v>
      </c>
      <c r="F208" s="15">
        <v>2</v>
      </c>
      <c r="G208" s="24" t="str">
        <f t="shared" si="3"/>
        <v>*K25676*</v>
      </c>
      <c r="H208" t="s">
        <v>140</v>
      </c>
      <c r="I208" s="26"/>
      <c r="J208" s="4"/>
      <c r="K208" s="4"/>
      <c r="L208" s="4"/>
      <c r="M208" s="4"/>
      <c r="N208" s="21"/>
      <c r="O208"/>
    </row>
    <row r="209" spans="1:15" ht="51" x14ac:dyDescent="0.25">
      <c r="A209" s="4" t="s">
        <v>521</v>
      </c>
      <c r="B209" s="8" t="s">
        <v>479</v>
      </c>
      <c r="C209" s="4" t="s">
        <v>489</v>
      </c>
      <c r="D209" s="4">
        <v>1</v>
      </c>
      <c r="E209" s="4">
        <v>3</v>
      </c>
      <c r="F209" s="15">
        <v>3</v>
      </c>
      <c r="G209" s="24" t="str">
        <f t="shared" si="3"/>
        <v>*TEMP0120*</v>
      </c>
      <c r="H209" t="s">
        <v>140</v>
      </c>
      <c r="I209" s="26"/>
      <c r="J209" s="4"/>
      <c r="K209" s="4"/>
      <c r="L209" s="4"/>
      <c r="M209" s="4"/>
      <c r="N209" s="21"/>
      <c r="O209"/>
    </row>
    <row r="210" spans="1:15" ht="51" x14ac:dyDescent="0.25">
      <c r="A210" s="32" t="s">
        <v>517</v>
      </c>
      <c r="B210" s="33" t="s">
        <v>518</v>
      </c>
      <c r="C210" s="32" t="s">
        <v>86</v>
      </c>
      <c r="D210" s="4">
        <v>2</v>
      </c>
      <c r="E210" s="4">
        <v>8</v>
      </c>
      <c r="F210" s="15">
        <v>4</v>
      </c>
      <c r="G210" s="24" t="str">
        <f t="shared" si="3"/>
        <v>*K51000*</v>
      </c>
      <c r="H210" t="s">
        <v>140</v>
      </c>
      <c r="I210" s="26"/>
      <c r="J210" s="4"/>
      <c r="K210" s="4"/>
      <c r="L210" s="4"/>
      <c r="M210" s="4"/>
      <c r="N210" s="21"/>
      <c r="O210"/>
    </row>
    <row r="211" spans="1:15" ht="51" x14ac:dyDescent="0.25">
      <c r="A211" s="4" t="s">
        <v>84</v>
      </c>
      <c r="B211" s="8" t="s">
        <v>85</v>
      </c>
      <c r="C211" s="4" t="s">
        <v>86</v>
      </c>
      <c r="D211" s="4">
        <v>2</v>
      </c>
      <c r="E211" s="4">
        <v>4</v>
      </c>
      <c r="F211" s="15">
        <v>4</v>
      </c>
      <c r="G211" s="24" t="str">
        <f t="shared" si="3"/>
        <v>*K51001*</v>
      </c>
      <c r="H211" t="s">
        <v>140</v>
      </c>
      <c r="I211" s="26"/>
      <c r="J211" s="4"/>
      <c r="K211" s="4"/>
      <c r="L211" s="4"/>
      <c r="M211" s="4"/>
      <c r="N211" s="21"/>
      <c r="O211"/>
    </row>
    <row r="212" spans="1:15" ht="51" x14ac:dyDescent="0.25">
      <c r="A212" s="4" t="s">
        <v>87</v>
      </c>
      <c r="B212" s="8" t="s">
        <v>88</v>
      </c>
      <c r="C212" s="4" t="s">
        <v>86</v>
      </c>
      <c r="D212" s="4">
        <v>2</v>
      </c>
      <c r="E212" s="4">
        <v>4</v>
      </c>
      <c r="F212" s="15">
        <v>2</v>
      </c>
      <c r="G212" s="24" t="str">
        <f t="shared" si="3"/>
        <v>*K51002*</v>
      </c>
      <c r="H212" t="s">
        <v>140</v>
      </c>
      <c r="I212" s="26"/>
      <c r="J212" s="4"/>
      <c r="K212" s="4"/>
      <c r="L212" s="4"/>
      <c r="M212" s="4"/>
      <c r="N212" s="21"/>
      <c r="O212"/>
    </row>
    <row r="213" spans="1:15" ht="51" x14ac:dyDescent="0.25">
      <c r="A213" s="4" t="s">
        <v>89</v>
      </c>
      <c r="B213" s="8" t="s">
        <v>90</v>
      </c>
      <c r="C213" s="4" t="s">
        <v>86</v>
      </c>
      <c r="D213" s="4">
        <v>2</v>
      </c>
      <c r="E213" s="4">
        <v>8</v>
      </c>
      <c r="F213" s="15">
        <v>8</v>
      </c>
      <c r="G213" s="24" t="str">
        <f t="shared" si="3"/>
        <v>*K51003*</v>
      </c>
      <c r="H213" t="s">
        <v>140</v>
      </c>
      <c r="I213" s="26"/>
      <c r="J213" s="4"/>
      <c r="K213" s="4"/>
      <c r="L213" s="4"/>
      <c r="M213" s="4"/>
      <c r="N213" s="21"/>
      <c r="O213"/>
    </row>
    <row r="214" spans="1:15" ht="51" x14ac:dyDescent="0.25">
      <c r="A214" s="4" t="s">
        <v>91</v>
      </c>
      <c r="B214" s="8" t="s">
        <v>92</v>
      </c>
      <c r="C214" s="4" t="s">
        <v>86</v>
      </c>
      <c r="D214" s="4">
        <v>2</v>
      </c>
      <c r="E214" s="4">
        <v>4</v>
      </c>
      <c r="F214" s="15">
        <v>11</v>
      </c>
      <c r="G214" s="24" t="str">
        <f t="shared" si="3"/>
        <v>*K51004*</v>
      </c>
      <c r="H214" t="s">
        <v>140</v>
      </c>
      <c r="I214" s="26"/>
      <c r="J214" s="4"/>
      <c r="K214" s="4"/>
      <c r="L214" s="4"/>
      <c r="M214" s="4"/>
      <c r="N214" s="21"/>
      <c r="O214"/>
    </row>
    <row r="215" spans="1:15" ht="51" x14ac:dyDescent="0.25">
      <c r="A215" s="4" t="s">
        <v>525</v>
      </c>
      <c r="B215" s="8" t="s">
        <v>93</v>
      </c>
      <c r="C215" s="4" t="s">
        <v>86</v>
      </c>
      <c r="D215" s="4">
        <v>0</v>
      </c>
      <c r="E215" s="4">
        <v>1</v>
      </c>
      <c r="F215" s="15">
        <v>1</v>
      </c>
      <c r="G215" s="24" t="str">
        <f t="shared" si="3"/>
        <v>*TEMP0124*</v>
      </c>
      <c r="H215" t="s">
        <v>140</v>
      </c>
      <c r="I215" s="26"/>
      <c r="J215" s="4" t="s">
        <v>570</v>
      </c>
      <c r="K215" s="4"/>
      <c r="L215" s="4"/>
      <c r="M215" s="4"/>
      <c r="N215" s="21"/>
      <c r="O215"/>
    </row>
    <row r="216" spans="1:15" ht="51" x14ac:dyDescent="0.25">
      <c r="A216" s="4" t="s">
        <v>526</v>
      </c>
      <c r="B216" s="8" t="s">
        <v>94</v>
      </c>
      <c r="C216" s="4" t="s">
        <v>86</v>
      </c>
      <c r="D216" s="4">
        <v>2</v>
      </c>
      <c r="E216" s="4">
        <v>8</v>
      </c>
      <c r="F216" s="15">
        <v>8</v>
      </c>
      <c r="G216" s="24" t="str">
        <f t="shared" si="3"/>
        <v>*TEMP0125*</v>
      </c>
      <c r="H216" t="s">
        <v>140</v>
      </c>
      <c r="I216" s="26"/>
      <c r="J216" s="4" t="s">
        <v>571</v>
      </c>
      <c r="K216" s="4"/>
      <c r="L216" s="4"/>
      <c r="M216" s="4"/>
      <c r="N216" s="21"/>
      <c r="O216"/>
    </row>
    <row r="217" spans="1:15" ht="51" x14ac:dyDescent="0.25">
      <c r="A217" s="32" t="s">
        <v>95</v>
      </c>
      <c r="B217" s="33" t="s">
        <v>96</v>
      </c>
      <c r="C217" s="32" t="s">
        <v>97</v>
      </c>
      <c r="D217" s="4">
        <v>2</v>
      </c>
      <c r="E217" s="4">
        <v>10</v>
      </c>
      <c r="F217" s="15">
        <v>7</v>
      </c>
      <c r="G217" s="24" t="str">
        <f t="shared" si="3"/>
        <v>*K100848*</v>
      </c>
      <c r="H217" t="s">
        <v>140</v>
      </c>
      <c r="I217" s="26"/>
      <c r="J217" s="4" t="s">
        <v>572</v>
      </c>
      <c r="K217" s="4"/>
      <c r="L217" s="4"/>
      <c r="M217" s="4"/>
      <c r="N217" s="21"/>
      <c r="O217"/>
    </row>
    <row r="218" spans="1:15" ht="51" x14ac:dyDescent="0.25">
      <c r="A218" s="32" t="s">
        <v>98</v>
      </c>
      <c r="B218" s="33" t="s">
        <v>99</v>
      </c>
      <c r="C218" s="32" t="s">
        <v>100</v>
      </c>
      <c r="D218" s="4">
        <v>2</v>
      </c>
      <c r="E218" s="4">
        <v>8</v>
      </c>
      <c r="F218" s="15">
        <v>8</v>
      </c>
      <c r="G218" s="24" t="str">
        <f t="shared" si="3"/>
        <v>*K100101*</v>
      </c>
      <c r="H218" t="s">
        <v>140</v>
      </c>
      <c r="I218" s="26"/>
      <c r="J218" s="4"/>
      <c r="K218" s="4"/>
      <c r="L218" s="4"/>
      <c r="M218" s="4"/>
      <c r="N218" s="21"/>
      <c r="O218"/>
    </row>
    <row r="219" spans="1:15" ht="51" x14ac:dyDescent="0.25">
      <c r="A219" s="4" t="s">
        <v>101</v>
      </c>
      <c r="B219" s="8" t="s">
        <v>102</v>
      </c>
      <c r="C219" s="4" t="s">
        <v>100</v>
      </c>
      <c r="D219" s="4">
        <v>2</v>
      </c>
      <c r="E219" s="4">
        <v>6</v>
      </c>
      <c r="F219" s="15">
        <v>6</v>
      </c>
      <c r="G219" s="24" t="str">
        <f t="shared" si="3"/>
        <v>*K100481*</v>
      </c>
      <c r="H219" t="s">
        <v>140</v>
      </c>
      <c r="I219" s="26"/>
      <c r="J219" s="4"/>
      <c r="K219" s="4"/>
      <c r="L219" s="4"/>
      <c r="M219" s="4"/>
      <c r="N219" s="21"/>
      <c r="O219"/>
    </row>
    <row r="220" spans="1:15" ht="51" x14ac:dyDescent="0.25">
      <c r="A220" s="4" t="s">
        <v>103</v>
      </c>
      <c r="B220" s="8" t="s">
        <v>104</v>
      </c>
      <c r="C220" s="4" t="s">
        <v>100</v>
      </c>
      <c r="D220" s="4">
        <v>2</v>
      </c>
      <c r="E220" s="4">
        <v>8</v>
      </c>
      <c r="F220" s="15">
        <v>8</v>
      </c>
      <c r="G220" s="24" t="str">
        <f t="shared" si="3"/>
        <v>*K25704*</v>
      </c>
      <c r="H220" t="s">
        <v>140</v>
      </c>
      <c r="I220" s="26"/>
      <c r="J220" s="4"/>
      <c r="K220" s="4"/>
      <c r="L220" s="4"/>
      <c r="M220" s="4"/>
      <c r="N220" s="21"/>
      <c r="O220"/>
    </row>
    <row r="221" spans="1:15" ht="51" x14ac:dyDescent="0.25">
      <c r="A221" s="4" t="s">
        <v>105</v>
      </c>
      <c r="B221" s="8" t="s">
        <v>106</v>
      </c>
      <c r="C221" s="4" t="s">
        <v>100</v>
      </c>
      <c r="D221" s="4">
        <v>2</v>
      </c>
      <c r="E221" s="4">
        <v>4</v>
      </c>
      <c r="F221" s="15">
        <v>4</v>
      </c>
      <c r="G221" s="24" t="str">
        <f t="shared" si="3"/>
        <v>*K25706*</v>
      </c>
      <c r="H221" t="s">
        <v>140</v>
      </c>
      <c r="I221" s="26"/>
      <c r="J221" s="4"/>
      <c r="K221" s="4"/>
      <c r="L221" s="4"/>
      <c r="M221" s="4"/>
      <c r="N221" s="21"/>
      <c r="O221"/>
    </row>
    <row r="222" spans="1:15" ht="51" x14ac:dyDescent="0.25">
      <c r="A222" s="4" t="s">
        <v>107</v>
      </c>
      <c r="B222" s="8" t="s">
        <v>108</v>
      </c>
      <c r="C222" s="4" t="s">
        <v>100</v>
      </c>
      <c r="D222" s="4">
        <v>1</v>
      </c>
      <c r="E222" s="4">
        <v>3</v>
      </c>
      <c r="F222" s="15">
        <v>3</v>
      </c>
      <c r="G222" s="24" t="str">
        <f t="shared" si="3"/>
        <v>*K19319*</v>
      </c>
      <c r="H222" t="s">
        <v>140</v>
      </c>
      <c r="I222" s="26"/>
      <c r="J222" s="4"/>
      <c r="K222" s="4"/>
      <c r="L222" s="4"/>
      <c r="M222" s="4"/>
      <c r="N222" s="21"/>
      <c r="O222"/>
    </row>
    <row r="223" spans="1:15" ht="51" x14ac:dyDescent="0.25">
      <c r="A223" s="4" t="s">
        <v>109</v>
      </c>
      <c r="B223" s="8" t="s">
        <v>110</v>
      </c>
      <c r="C223" s="4" t="s">
        <v>100</v>
      </c>
      <c r="D223" s="4">
        <v>2</v>
      </c>
      <c r="E223" s="4">
        <v>4</v>
      </c>
      <c r="F223" s="15">
        <v>4</v>
      </c>
      <c r="G223" s="24" t="str">
        <f t="shared" si="3"/>
        <v>*K102387*</v>
      </c>
      <c r="H223" t="s">
        <v>140</v>
      </c>
      <c r="I223" s="26"/>
      <c r="J223" s="4"/>
      <c r="K223" s="4"/>
      <c r="L223" s="4"/>
      <c r="M223" s="4"/>
      <c r="N223" s="21"/>
      <c r="O223"/>
    </row>
    <row r="224" spans="1:15" ht="51" x14ac:dyDescent="0.25">
      <c r="A224" s="4" t="s">
        <v>111</v>
      </c>
      <c r="B224" s="8" t="s">
        <v>112</v>
      </c>
      <c r="C224" s="4" t="s">
        <v>100</v>
      </c>
      <c r="D224" s="4">
        <v>2</v>
      </c>
      <c r="E224" s="4">
        <v>10</v>
      </c>
      <c r="F224" s="15">
        <v>10</v>
      </c>
      <c r="G224" s="24" t="str">
        <f t="shared" si="3"/>
        <v>*K100079*</v>
      </c>
      <c r="H224" t="s">
        <v>140</v>
      </c>
      <c r="I224" s="26"/>
      <c r="J224" s="4"/>
      <c r="K224" s="4"/>
      <c r="L224" s="4"/>
      <c r="M224" s="4"/>
      <c r="N224" s="21"/>
      <c r="O224"/>
    </row>
    <row r="225" spans="1:15" ht="51" x14ac:dyDescent="0.25">
      <c r="A225" s="4" t="s">
        <v>113</v>
      </c>
      <c r="B225" s="8" t="s">
        <v>114</v>
      </c>
      <c r="C225" s="4" t="s">
        <v>100</v>
      </c>
      <c r="D225" s="4">
        <v>2</v>
      </c>
      <c r="E225" s="4">
        <v>4</v>
      </c>
      <c r="F225" s="15">
        <v>4</v>
      </c>
      <c r="G225" s="24" t="str">
        <f t="shared" si="3"/>
        <v>*K25718*</v>
      </c>
      <c r="H225" t="s">
        <v>140</v>
      </c>
      <c r="I225" s="26"/>
      <c r="J225" s="4"/>
      <c r="K225" s="4"/>
      <c r="L225" s="4"/>
      <c r="M225" s="4"/>
      <c r="N225" s="21"/>
      <c r="O225"/>
    </row>
    <row r="226" spans="1:15" ht="51" x14ac:dyDescent="0.25">
      <c r="A226" s="4" t="s">
        <v>115</v>
      </c>
      <c r="B226" s="8" t="s">
        <v>116</v>
      </c>
      <c r="C226" s="4" t="s">
        <v>100</v>
      </c>
      <c r="D226" s="4">
        <v>2</v>
      </c>
      <c r="E226" s="4">
        <v>6</v>
      </c>
      <c r="F226" s="15">
        <v>6</v>
      </c>
      <c r="G226" s="24" t="str">
        <f t="shared" si="3"/>
        <v>*K25708*</v>
      </c>
      <c r="H226" t="s">
        <v>140</v>
      </c>
      <c r="I226" s="26"/>
      <c r="J226" s="4"/>
      <c r="K226" s="4"/>
      <c r="L226" s="4"/>
      <c r="M226" s="4"/>
      <c r="N226" s="21"/>
      <c r="O226"/>
    </row>
    <row r="227" spans="1:15" ht="51" x14ac:dyDescent="0.25">
      <c r="A227" s="4" t="s">
        <v>117</v>
      </c>
      <c r="B227" s="8" t="s">
        <v>118</v>
      </c>
      <c r="C227" s="4" t="s">
        <v>100</v>
      </c>
      <c r="D227" s="4">
        <v>2</v>
      </c>
      <c r="E227" s="4">
        <v>4</v>
      </c>
      <c r="F227" s="15">
        <v>4</v>
      </c>
      <c r="G227" s="24" t="str">
        <f t="shared" si="3"/>
        <v>*K25739*</v>
      </c>
      <c r="H227" t="s">
        <v>140</v>
      </c>
      <c r="I227" s="26"/>
      <c r="J227" s="4"/>
      <c r="K227" s="4"/>
      <c r="L227" s="4"/>
      <c r="M227" s="4"/>
      <c r="N227" s="21"/>
      <c r="O227"/>
    </row>
    <row r="228" spans="1:15" ht="51" x14ac:dyDescent="0.25">
      <c r="A228" s="4" t="s">
        <v>119</v>
      </c>
      <c r="B228" s="8" t="s">
        <v>120</v>
      </c>
      <c r="C228" s="4" t="s">
        <v>100</v>
      </c>
      <c r="D228" s="4">
        <v>1</v>
      </c>
      <c r="E228" s="4">
        <v>9</v>
      </c>
      <c r="F228" s="15">
        <v>9</v>
      </c>
      <c r="G228" s="24" t="str">
        <f t="shared" si="3"/>
        <v>*K25716*</v>
      </c>
      <c r="H228" t="s">
        <v>140</v>
      </c>
      <c r="I228" s="26"/>
      <c r="J228" s="4"/>
      <c r="K228" s="4"/>
      <c r="L228" s="4"/>
      <c r="M228" s="4"/>
      <c r="N228" s="21"/>
      <c r="O228"/>
    </row>
    <row r="229" spans="1:15" ht="51" x14ac:dyDescent="0.25">
      <c r="A229" s="4">
        <v>100674</v>
      </c>
      <c r="B229" s="8" t="s">
        <v>121</v>
      </c>
      <c r="C229" s="4" t="s">
        <v>100</v>
      </c>
      <c r="D229" s="4">
        <v>1</v>
      </c>
      <c r="E229" s="4">
        <v>1</v>
      </c>
      <c r="F229" s="15">
        <v>50</v>
      </c>
      <c r="G229" s="24" t="str">
        <f t="shared" si="3"/>
        <v>*100674*</v>
      </c>
      <c r="H229" t="s">
        <v>140</v>
      </c>
      <c r="I229" s="26"/>
      <c r="J229" s="4"/>
      <c r="K229" s="4"/>
      <c r="L229" s="4"/>
      <c r="M229" s="4"/>
      <c r="N229" s="21"/>
      <c r="O229"/>
    </row>
    <row r="230" spans="1:15" ht="51" x14ac:dyDescent="0.25">
      <c r="A230" s="4" t="s">
        <v>527</v>
      </c>
      <c r="B230" s="8" t="s">
        <v>122</v>
      </c>
      <c r="C230" s="4" t="s">
        <v>100</v>
      </c>
      <c r="D230" s="4">
        <v>1</v>
      </c>
      <c r="E230" s="4">
        <v>1</v>
      </c>
      <c r="F230" s="15">
        <v>7</v>
      </c>
      <c r="G230" s="24" t="str">
        <f t="shared" si="3"/>
        <v>*TEMP0126*</v>
      </c>
      <c r="H230" t="s">
        <v>140</v>
      </c>
      <c r="I230" s="26"/>
      <c r="J230" s="4" t="s">
        <v>571</v>
      </c>
      <c r="K230" s="4"/>
      <c r="L230" s="4"/>
      <c r="M230" s="4"/>
      <c r="N230" s="21"/>
      <c r="O230"/>
    </row>
    <row r="231" spans="1:15" ht="51" x14ac:dyDescent="0.25">
      <c r="A231" s="4" t="s">
        <v>528</v>
      </c>
      <c r="B231" s="8" t="s">
        <v>123</v>
      </c>
      <c r="C231" s="4" t="s">
        <v>100</v>
      </c>
      <c r="D231" s="4">
        <v>1</v>
      </c>
      <c r="E231" s="4">
        <v>2</v>
      </c>
      <c r="F231" s="15">
        <v>2</v>
      </c>
      <c r="G231" s="24" t="str">
        <f t="shared" si="3"/>
        <v>*TEMP0127*</v>
      </c>
      <c r="H231" t="s">
        <v>140</v>
      </c>
      <c r="I231" s="26"/>
      <c r="J231" s="4" t="s">
        <v>573</v>
      </c>
      <c r="K231" s="4"/>
      <c r="L231" s="4"/>
      <c r="M231" s="4"/>
      <c r="N231" s="21"/>
      <c r="O231"/>
    </row>
    <row r="232" spans="1:15" ht="51" x14ac:dyDescent="0.25">
      <c r="A232" s="4" t="s">
        <v>529</v>
      </c>
      <c r="B232" s="8" t="s">
        <v>124</v>
      </c>
      <c r="C232" s="4" t="s">
        <v>100</v>
      </c>
      <c r="D232" s="4">
        <v>1</v>
      </c>
      <c r="E232" s="4">
        <v>3</v>
      </c>
      <c r="F232" s="15">
        <v>3</v>
      </c>
      <c r="G232" s="24" t="str">
        <f t="shared" si="3"/>
        <v>*TEMP0128*</v>
      </c>
      <c r="H232" t="s">
        <v>140</v>
      </c>
      <c r="I232" s="26"/>
      <c r="J232" s="4"/>
      <c r="K232" s="4"/>
      <c r="L232" s="4"/>
      <c r="M232" s="4"/>
      <c r="N232" s="21"/>
      <c r="O232"/>
    </row>
    <row r="233" spans="1:15" ht="51" x14ac:dyDescent="0.25">
      <c r="A233" s="4" t="s">
        <v>530</v>
      </c>
      <c r="B233" s="8" t="s">
        <v>125</v>
      </c>
      <c r="C233" s="4" t="s">
        <v>100</v>
      </c>
      <c r="D233" s="4">
        <v>1</v>
      </c>
      <c r="E233" s="4">
        <v>3</v>
      </c>
      <c r="F233" s="15">
        <v>3</v>
      </c>
      <c r="G233" s="24" t="str">
        <f t="shared" si="3"/>
        <v>*TEMP0129*</v>
      </c>
      <c r="H233" t="s">
        <v>140</v>
      </c>
      <c r="I233" s="26"/>
      <c r="J233" s="4" t="s">
        <v>575</v>
      </c>
      <c r="K233" s="4"/>
      <c r="L233" s="4"/>
      <c r="M233" s="4"/>
      <c r="N233" s="21"/>
      <c r="O233"/>
    </row>
    <row r="234" spans="1:15" ht="51" x14ac:dyDescent="0.25">
      <c r="A234" s="4" t="s">
        <v>531</v>
      </c>
      <c r="B234" s="8" t="s">
        <v>126</v>
      </c>
      <c r="C234" s="4" t="s">
        <v>100</v>
      </c>
      <c r="D234" s="4">
        <v>1</v>
      </c>
      <c r="E234" s="4">
        <v>2</v>
      </c>
      <c r="F234" s="15">
        <v>2</v>
      </c>
      <c r="G234" s="24" t="str">
        <f t="shared" si="3"/>
        <v>*TEMP0130*</v>
      </c>
      <c r="H234" t="s">
        <v>140</v>
      </c>
      <c r="I234" s="26"/>
      <c r="J234" s="4" t="s">
        <v>573</v>
      </c>
      <c r="K234" s="4"/>
      <c r="L234" s="4"/>
      <c r="M234" s="4"/>
      <c r="N234" s="21"/>
      <c r="O234"/>
    </row>
    <row r="235" spans="1:15" ht="51" x14ac:dyDescent="0.25">
      <c r="A235" s="4" t="s">
        <v>532</v>
      </c>
      <c r="B235" s="8" t="s">
        <v>127</v>
      </c>
      <c r="C235" s="4" t="s">
        <v>100</v>
      </c>
      <c r="D235" s="4">
        <v>2</v>
      </c>
      <c r="E235" s="4">
        <v>4</v>
      </c>
      <c r="F235" s="15">
        <v>4</v>
      </c>
      <c r="G235" s="24" t="str">
        <f t="shared" si="3"/>
        <v>*TEMP0131*</v>
      </c>
      <c r="H235" t="s">
        <v>140</v>
      </c>
      <c r="I235" s="26"/>
      <c r="J235" s="4" t="s">
        <v>574</v>
      </c>
      <c r="K235" s="4"/>
      <c r="L235" s="4"/>
      <c r="M235" s="4"/>
      <c r="N235" s="21"/>
      <c r="O235"/>
    </row>
    <row r="236" spans="1:15" ht="51" x14ac:dyDescent="0.25">
      <c r="A236" s="4" t="s">
        <v>533</v>
      </c>
      <c r="B236" s="8" t="s">
        <v>128</v>
      </c>
      <c r="C236" s="4" t="s">
        <v>100</v>
      </c>
      <c r="D236" s="4">
        <v>2</v>
      </c>
      <c r="E236" s="4">
        <v>4</v>
      </c>
      <c r="F236" s="15">
        <v>4</v>
      </c>
      <c r="G236" s="24" t="str">
        <f t="shared" si="3"/>
        <v>*TEMP0132*</v>
      </c>
      <c r="H236" t="s">
        <v>140</v>
      </c>
      <c r="I236" s="26"/>
      <c r="J236" s="4" t="s">
        <v>575</v>
      </c>
      <c r="K236" s="4"/>
      <c r="L236" s="4"/>
      <c r="M236" s="4"/>
      <c r="N236" s="21"/>
      <c r="O236"/>
    </row>
    <row r="237" spans="1:15" ht="51" x14ac:dyDescent="0.25">
      <c r="A237" s="4" t="s">
        <v>534</v>
      </c>
      <c r="B237" s="8" t="s">
        <v>129</v>
      </c>
      <c r="C237" s="4" t="s">
        <v>100</v>
      </c>
      <c r="D237" s="4">
        <v>1</v>
      </c>
      <c r="E237" s="4">
        <v>3</v>
      </c>
      <c r="F237" s="15">
        <v>3</v>
      </c>
      <c r="G237" s="24" t="str">
        <f t="shared" si="3"/>
        <v>*TEMP0133*</v>
      </c>
      <c r="H237" t="s">
        <v>140</v>
      </c>
      <c r="I237" s="26"/>
      <c r="J237" s="4"/>
      <c r="K237" s="4"/>
      <c r="L237" s="4"/>
      <c r="M237" s="4"/>
      <c r="N237" s="21"/>
      <c r="O237"/>
    </row>
    <row r="238" spans="1:15" ht="51" x14ac:dyDescent="0.25">
      <c r="A238" s="32" t="s">
        <v>535</v>
      </c>
      <c r="B238" s="33" t="s">
        <v>130</v>
      </c>
      <c r="C238" s="32" t="s">
        <v>131</v>
      </c>
      <c r="D238" s="4">
        <v>0</v>
      </c>
      <c r="E238" s="4">
        <v>0</v>
      </c>
      <c r="F238" s="15">
        <v>0</v>
      </c>
      <c r="G238" s="24" t="str">
        <f t="shared" si="3"/>
        <v>*TEMP0134*</v>
      </c>
      <c r="H238" t="s">
        <v>140</v>
      </c>
      <c r="I238" s="26"/>
      <c r="J238" s="4"/>
      <c r="K238" s="4"/>
      <c r="L238" s="4"/>
      <c r="M238" s="4"/>
      <c r="N238" s="21"/>
      <c r="O238"/>
    </row>
    <row r="239" spans="1:15" ht="51" x14ac:dyDescent="0.25">
      <c r="A239" s="32" t="s">
        <v>536</v>
      </c>
      <c r="B239" s="33" t="s">
        <v>132</v>
      </c>
      <c r="C239" s="32" t="s">
        <v>133</v>
      </c>
      <c r="D239" s="4">
        <v>2</v>
      </c>
      <c r="E239" s="4">
        <v>12</v>
      </c>
      <c r="F239" s="15">
        <v>12</v>
      </c>
      <c r="G239" s="24" t="str">
        <f t="shared" si="3"/>
        <v>*TEMP0135*</v>
      </c>
      <c r="H239" t="s">
        <v>140</v>
      </c>
      <c r="I239" s="26"/>
      <c r="J239" s="4"/>
      <c r="K239" s="4"/>
      <c r="L239" s="4"/>
      <c r="M239" s="4"/>
      <c r="N239" s="21"/>
      <c r="O239"/>
    </row>
    <row r="240" spans="1:15" ht="51" x14ac:dyDescent="0.25">
      <c r="A240" s="32" t="s">
        <v>537</v>
      </c>
      <c r="B240" s="33" t="s">
        <v>519</v>
      </c>
      <c r="C240" s="32" t="s">
        <v>520</v>
      </c>
      <c r="D240" s="4">
        <v>1</v>
      </c>
      <c r="E240" s="4">
        <v>1</v>
      </c>
      <c r="F240" s="15">
        <v>1</v>
      </c>
      <c r="G240" s="24" t="str">
        <f t="shared" si="3"/>
        <v>*TEMP0136*</v>
      </c>
      <c r="H240" t="s">
        <v>140</v>
      </c>
      <c r="I240" s="26"/>
      <c r="J240" s="4" t="s">
        <v>549</v>
      </c>
      <c r="K240" s="4"/>
      <c r="L240" s="4"/>
      <c r="M240" s="4"/>
      <c r="N240" s="21"/>
      <c r="O240"/>
    </row>
    <row r="241" spans="1:15" ht="51" x14ac:dyDescent="0.25">
      <c r="A241" s="32" t="s">
        <v>134</v>
      </c>
      <c r="B241" s="33" t="s">
        <v>135</v>
      </c>
      <c r="C241" s="32" t="s">
        <v>136</v>
      </c>
      <c r="D241" s="4">
        <v>1</v>
      </c>
      <c r="E241" s="4">
        <v>4</v>
      </c>
      <c r="F241" s="15">
        <v>6</v>
      </c>
      <c r="G241" s="24" t="str">
        <f t="shared" si="3"/>
        <v>*K100812*</v>
      </c>
      <c r="H241" t="s">
        <v>140</v>
      </c>
      <c r="I241" s="26"/>
      <c r="J241" s="4"/>
      <c r="K241" s="4"/>
      <c r="L241" s="4"/>
      <c r="M241" s="4"/>
      <c r="N241" s="21"/>
      <c r="O241"/>
    </row>
    <row r="242" spans="1:15" ht="51" x14ac:dyDescent="0.25">
      <c r="A242" s="4" t="s">
        <v>137</v>
      </c>
      <c r="B242" s="8" t="s">
        <v>138</v>
      </c>
      <c r="C242" s="4" t="s">
        <v>136</v>
      </c>
      <c r="D242" s="4">
        <v>1</v>
      </c>
      <c r="E242" s="4">
        <v>2</v>
      </c>
      <c r="F242" s="15">
        <v>2</v>
      </c>
      <c r="G242" s="24" t="str">
        <f t="shared" si="3"/>
        <v>*K100810*</v>
      </c>
      <c r="H242" t="s">
        <v>140</v>
      </c>
      <c r="I242" s="26"/>
      <c r="J242" s="4" t="s">
        <v>576</v>
      </c>
      <c r="K242" s="4"/>
      <c r="L242" s="4"/>
      <c r="M242" s="4"/>
      <c r="N242" s="21"/>
      <c r="O242"/>
    </row>
    <row r="243" spans="1:15" ht="51" x14ac:dyDescent="0.25">
      <c r="A243" s="32" t="s">
        <v>326</v>
      </c>
      <c r="B243" s="33" t="s">
        <v>385</v>
      </c>
      <c r="C243" s="32" t="s">
        <v>548</v>
      </c>
      <c r="D243" s="4">
        <v>24</v>
      </c>
      <c r="E243" s="4">
        <v>48</v>
      </c>
      <c r="F243" s="15">
        <v>24</v>
      </c>
      <c r="G243" s="24" t="str">
        <f t="shared" si="3"/>
        <v>*K102516*</v>
      </c>
      <c r="H243" t="s">
        <v>140</v>
      </c>
      <c r="I243" s="26" t="s">
        <v>554</v>
      </c>
      <c r="J243" s="4" t="s">
        <v>550</v>
      </c>
      <c r="K243" s="4"/>
      <c r="L243" s="4"/>
      <c r="M243" s="4"/>
      <c r="N243" s="21"/>
      <c r="O243"/>
    </row>
    <row r="244" spans="1:15" ht="51" x14ac:dyDescent="0.25">
      <c r="A244" s="4" t="s">
        <v>327</v>
      </c>
      <c r="B244" s="8" t="s">
        <v>386</v>
      </c>
      <c r="C244" s="4" t="s">
        <v>548</v>
      </c>
      <c r="D244" s="4">
        <v>24</v>
      </c>
      <c r="E244" s="4">
        <v>48</v>
      </c>
      <c r="F244" s="15">
        <v>24</v>
      </c>
      <c r="G244" s="24" t="str">
        <f t="shared" si="3"/>
        <v>*K102517*</v>
      </c>
      <c r="H244" t="s">
        <v>140</v>
      </c>
      <c r="I244" s="26" t="s">
        <v>555</v>
      </c>
      <c r="J244" s="4" t="s">
        <v>550</v>
      </c>
      <c r="K244" s="4"/>
      <c r="L244" s="4"/>
      <c r="M244" s="4"/>
      <c r="N244" s="21"/>
      <c r="O244"/>
    </row>
    <row r="245" spans="1:15" ht="51" x14ac:dyDescent="0.25">
      <c r="A245" s="4" t="s">
        <v>538</v>
      </c>
      <c r="B245" s="8" t="s">
        <v>543</v>
      </c>
      <c r="C245" s="4" t="s">
        <v>548</v>
      </c>
      <c r="D245" s="4">
        <v>2</v>
      </c>
      <c r="E245" s="4">
        <v>4</v>
      </c>
      <c r="F245" s="15">
        <v>0</v>
      </c>
      <c r="G245" s="24" t="str">
        <f t="shared" si="3"/>
        <v>*K102669*</v>
      </c>
      <c r="H245" t="s">
        <v>140</v>
      </c>
      <c r="I245" s="26">
        <v>30014234</v>
      </c>
      <c r="J245" s="4" t="s">
        <v>551</v>
      </c>
      <c r="K245" s="4"/>
      <c r="L245" s="4"/>
      <c r="M245" s="4"/>
      <c r="N245" s="21"/>
      <c r="O245"/>
    </row>
    <row r="246" spans="1:15" ht="51" x14ac:dyDescent="0.25">
      <c r="A246" s="4" t="s">
        <v>539</v>
      </c>
      <c r="B246" s="8" t="s">
        <v>544</v>
      </c>
      <c r="C246" s="4" t="s">
        <v>548</v>
      </c>
      <c r="D246" s="4">
        <v>1</v>
      </c>
      <c r="E246" s="4">
        <v>2</v>
      </c>
      <c r="F246" s="15">
        <v>0</v>
      </c>
      <c r="G246" s="24" t="str">
        <f t="shared" si="3"/>
        <v>*K102663*</v>
      </c>
      <c r="H246" t="s">
        <v>140</v>
      </c>
      <c r="I246" s="26">
        <v>92111692</v>
      </c>
      <c r="J246" s="4" t="s">
        <v>551</v>
      </c>
      <c r="K246" s="4"/>
      <c r="L246" s="4"/>
      <c r="M246" s="4"/>
      <c r="N246" s="21"/>
      <c r="O246"/>
    </row>
    <row r="247" spans="1:15" ht="51" x14ac:dyDescent="0.25">
      <c r="A247" s="4" t="s">
        <v>540</v>
      </c>
      <c r="B247" s="8" t="s">
        <v>545</v>
      </c>
      <c r="C247" s="4" t="s">
        <v>548</v>
      </c>
      <c r="D247" s="4">
        <v>1</v>
      </c>
      <c r="E247" s="4">
        <v>2</v>
      </c>
      <c r="F247" s="15">
        <v>1</v>
      </c>
      <c r="G247" s="24" t="str">
        <f t="shared" si="3"/>
        <v>*K102640*</v>
      </c>
      <c r="H247" t="s">
        <v>140</v>
      </c>
      <c r="I247" s="26" t="s">
        <v>556</v>
      </c>
      <c r="J247" s="4" t="s">
        <v>552</v>
      </c>
      <c r="K247" s="4"/>
      <c r="L247" s="4"/>
      <c r="M247" s="4"/>
      <c r="N247" s="21"/>
      <c r="O247"/>
    </row>
    <row r="248" spans="1:15" ht="51" x14ac:dyDescent="0.25">
      <c r="A248" s="4" t="s">
        <v>541</v>
      </c>
      <c r="B248" s="8" t="s">
        <v>546</v>
      </c>
      <c r="C248" s="4" t="s">
        <v>548</v>
      </c>
      <c r="D248" s="4">
        <v>1</v>
      </c>
      <c r="E248" s="4">
        <v>2</v>
      </c>
      <c r="F248" s="15">
        <v>0</v>
      </c>
      <c r="G248" s="24" t="str">
        <f t="shared" si="3"/>
        <v>*K102664*</v>
      </c>
      <c r="H248" t="s">
        <v>140</v>
      </c>
      <c r="I248" s="26">
        <v>30090046</v>
      </c>
      <c r="J248" s="4" t="s">
        <v>551</v>
      </c>
      <c r="K248" s="4"/>
      <c r="L248" s="4"/>
      <c r="M248" s="4"/>
      <c r="N248" s="21"/>
      <c r="O248"/>
    </row>
    <row r="249" spans="1:15" ht="51" x14ac:dyDescent="0.25">
      <c r="A249" s="4" t="s">
        <v>542</v>
      </c>
      <c r="B249" s="8" t="s">
        <v>547</v>
      </c>
      <c r="C249" s="4" t="s">
        <v>548</v>
      </c>
      <c r="D249" s="4">
        <v>0</v>
      </c>
      <c r="E249" s="4">
        <v>1</v>
      </c>
      <c r="F249" s="15">
        <v>0</v>
      </c>
      <c r="G249" s="24" t="str">
        <f t="shared" si="3"/>
        <v>*K102639*</v>
      </c>
      <c r="H249" t="s">
        <v>140</v>
      </c>
      <c r="I249" s="26" t="s">
        <v>557</v>
      </c>
      <c r="J249" s="4" t="s">
        <v>553</v>
      </c>
      <c r="K249" s="4"/>
      <c r="L249" s="4"/>
      <c r="M249" s="4"/>
      <c r="N249" s="21"/>
      <c r="O249"/>
    </row>
    <row r="250" spans="1:15" ht="51" x14ac:dyDescent="0.25">
      <c r="A250" s="4" t="s">
        <v>598</v>
      </c>
      <c r="B250" s="8" t="s">
        <v>599</v>
      </c>
      <c r="C250" s="4" t="s">
        <v>608</v>
      </c>
      <c r="D250" s="4">
        <v>0</v>
      </c>
      <c r="E250" s="4">
        <v>1</v>
      </c>
      <c r="F250" s="15">
        <v>0</v>
      </c>
      <c r="G250" s="24" t="str">
        <f t="shared" ref="G250:G255" si="4">"*"&amp;A250&amp;"*"</f>
        <v>*TEMP0137*</v>
      </c>
      <c r="H250" t="s">
        <v>140</v>
      </c>
      <c r="I250" s="26" t="s">
        <v>600</v>
      </c>
      <c r="J250" s="4" t="s">
        <v>601</v>
      </c>
      <c r="K250" s="8" t="s">
        <v>618</v>
      </c>
      <c r="L250" s="4"/>
      <c r="M250" s="4"/>
      <c r="N250" s="21"/>
    </row>
    <row r="251" spans="1:15" ht="51" x14ac:dyDescent="0.25">
      <c r="A251" s="4" t="s">
        <v>602</v>
      </c>
      <c r="B251" s="8" t="s">
        <v>603</v>
      </c>
      <c r="C251" s="4" t="s">
        <v>608</v>
      </c>
      <c r="D251" s="4">
        <v>0</v>
      </c>
      <c r="E251" s="4">
        <v>1</v>
      </c>
      <c r="F251" s="15">
        <v>0</v>
      </c>
      <c r="G251" s="24" t="str">
        <f t="shared" si="4"/>
        <v>*TEMP0138*</v>
      </c>
      <c r="H251" t="s">
        <v>140</v>
      </c>
      <c r="I251" s="26" t="s">
        <v>613</v>
      </c>
      <c r="J251" s="4" t="s">
        <v>601</v>
      </c>
      <c r="K251" s="8" t="s">
        <v>618</v>
      </c>
      <c r="L251" s="4"/>
      <c r="M251" s="4"/>
      <c r="N251" s="21"/>
    </row>
    <row r="252" spans="1:15" ht="51" x14ac:dyDescent="0.25">
      <c r="A252" s="4" t="s">
        <v>609</v>
      </c>
      <c r="B252" s="8" t="s">
        <v>604</v>
      </c>
      <c r="C252" s="4" t="s">
        <v>608</v>
      </c>
      <c r="D252" s="4">
        <v>0</v>
      </c>
      <c r="E252" s="4">
        <v>1</v>
      </c>
      <c r="F252" s="15">
        <v>0</v>
      </c>
      <c r="G252" s="24" t="str">
        <f t="shared" si="4"/>
        <v>*TEMP0139*</v>
      </c>
      <c r="H252" t="s">
        <v>140</v>
      </c>
      <c r="I252" s="26" t="s">
        <v>614</v>
      </c>
      <c r="J252" s="4" t="s">
        <v>601</v>
      </c>
      <c r="K252" s="8" t="s">
        <v>618</v>
      </c>
      <c r="L252" s="4"/>
      <c r="M252" s="4"/>
      <c r="N252" s="21"/>
    </row>
    <row r="253" spans="1:15" ht="51" x14ac:dyDescent="0.25">
      <c r="A253" s="4" t="s">
        <v>610</v>
      </c>
      <c r="B253" s="8" t="s">
        <v>605</v>
      </c>
      <c r="C253" s="4" t="s">
        <v>608</v>
      </c>
      <c r="D253" s="4">
        <v>0</v>
      </c>
      <c r="E253" s="4">
        <v>1</v>
      </c>
      <c r="F253" s="15">
        <v>0</v>
      </c>
      <c r="G253" s="24" t="str">
        <f t="shared" si="4"/>
        <v>*TEMP0140*</v>
      </c>
      <c r="H253" t="s">
        <v>140</v>
      </c>
      <c r="I253" s="26" t="s">
        <v>615</v>
      </c>
      <c r="J253" s="4" t="s">
        <v>601</v>
      </c>
      <c r="K253" s="8" t="s">
        <v>618</v>
      </c>
      <c r="L253" s="4"/>
      <c r="M253" s="4"/>
      <c r="N253" s="21"/>
    </row>
    <row r="254" spans="1:15" ht="51" x14ac:dyDescent="0.25">
      <c r="A254" s="4" t="s">
        <v>611</v>
      </c>
      <c r="B254" s="8" t="s">
        <v>606</v>
      </c>
      <c r="C254" s="4" t="s">
        <v>608</v>
      </c>
      <c r="D254" s="4">
        <v>0</v>
      </c>
      <c r="E254" s="4">
        <v>1</v>
      </c>
      <c r="F254" s="15">
        <v>0</v>
      </c>
      <c r="G254" s="24" t="str">
        <f t="shared" si="4"/>
        <v>*TEMP0141*</v>
      </c>
      <c r="H254" t="s">
        <v>140</v>
      </c>
      <c r="I254" s="26" t="s">
        <v>616</v>
      </c>
      <c r="J254" s="4" t="s">
        <v>601</v>
      </c>
      <c r="K254" s="8" t="s">
        <v>618</v>
      </c>
      <c r="L254" s="4"/>
      <c r="M254" s="4"/>
      <c r="N254" s="21"/>
    </row>
    <row r="255" spans="1:15" ht="51" x14ac:dyDescent="0.25">
      <c r="A255" s="4" t="s">
        <v>612</v>
      </c>
      <c r="B255" s="8" t="s">
        <v>607</v>
      </c>
      <c r="C255" s="4" t="s">
        <v>608</v>
      </c>
      <c r="D255" s="4">
        <v>0</v>
      </c>
      <c r="E255" s="4">
        <v>1</v>
      </c>
      <c r="F255" s="15">
        <v>0</v>
      </c>
      <c r="G255" s="24" t="str">
        <f t="shared" si="4"/>
        <v>*TEMP0142*</v>
      </c>
      <c r="H255" t="s">
        <v>140</v>
      </c>
      <c r="I255" s="26">
        <v>5669940</v>
      </c>
      <c r="J255" s="4" t="s">
        <v>601</v>
      </c>
      <c r="K255" s="8" t="s">
        <v>618</v>
      </c>
      <c r="L255" s="4"/>
      <c r="M255" s="4"/>
      <c r="N255" s="21"/>
    </row>
    <row r="256" spans="1:15" ht="16.5" x14ac:dyDescent="0.35">
      <c r="H256" s="1"/>
    </row>
    <row r="257" spans="8:8" ht="16.5" x14ac:dyDescent="0.35">
      <c r="H257" s="1"/>
    </row>
    <row r="258" spans="8:8" ht="16.5" x14ac:dyDescent="0.35">
      <c r="H258" s="1"/>
    </row>
    <row r="259" spans="8:8" ht="16.5" x14ac:dyDescent="0.35">
      <c r="H259" s="1"/>
    </row>
    <row r="260" spans="8:8" ht="16.5" x14ac:dyDescent="0.35">
      <c r="H260" s="1"/>
    </row>
    <row r="261" spans="8:8" ht="16.5" x14ac:dyDescent="0.35">
      <c r="H261" s="1"/>
    </row>
    <row r="262" spans="8:8" ht="16.5" x14ac:dyDescent="0.35">
      <c r="H262" s="1"/>
    </row>
    <row r="263" spans="8:8" ht="16.5" x14ac:dyDescent="0.35">
      <c r="H263" s="1"/>
    </row>
    <row r="264" spans="8:8" ht="16.5" x14ac:dyDescent="0.35">
      <c r="H264" s="1"/>
    </row>
    <row r="265" spans="8:8" ht="16.5" x14ac:dyDescent="0.35">
      <c r="H265" s="1"/>
    </row>
    <row r="266" spans="8:8" ht="16.5" x14ac:dyDescent="0.35">
      <c r="H266" s="1"/>
    </row>
    <row r="267" spans="8:8" ht="16.5" x14ac:dyDescent="0.35">
      <c r="H267" s="1"/>
    </row>
    <row r="268" spans="8:8" ht="16.5" x14ac:dyDescent="0.35">
      <c r="H268" s="1"/>
    </row>
    <row r="269" spans="8:8" ht="16.5" x14ac:dyDescent="0.35">
      <c r="H269" s="1"/>
    </row>
    <row r="270" spans="8:8" ht="16.5" x14ac:dyDescent="0.35">
      <c r="H270" s="1"/>
    </row>
    <row r="271" spans="8:8" ht="16.5" x14ac:dyDescent="0.35">
      <c r="H271" s="1"/>
    </row>
    <row r="272" spans="8:8" ht="16.5" x14ac:dyDescent="0.35">
      <c r="H272" s="1"/>
    </row>
    <row r="273" spans="8:8" ht="16.5" x14ac:dyDescent="0.35">
      <c r="H273" s="1"/>
    </row>
    <row r="274" spans="8:8" ht="16.5" x14ac:dyDescent="0.35">
      <c r="H274" s="1"/>
    </row>
    <row r="275" spans="8:8" ht="16.5" x14ac:dyDescent="0.35">
      <c r="H275" s="1"/>
    </row>
    <row r="276" spans="8:8" ht="16.5" x14ac:dyDescent="0.35">
      <c r="H276" s="1"/>
    </row>
    <row r="277" spans="8:8" ht="16.5" x14ac:dyDescent="0.35">
      <c r="H277" s="1"/>
    </row>
    <row r="278" spans="8:8" ht="16.5" x14ac:dyDescent="0.35">
      <c r="H278" s="1"/>
    </row>
    <row r="279" spans="8:8" ht="16.5" x14ac:dyDescent="0.35">
      <c r="H279" s="1"/>
    </row>
    <row r="280" spans="8:8" ht="16.5" x14ac:dyDescent="0.35">
      <c r="H280" s="1"/>
    </row>
    <row r="281" spans="8:8" ht="16.5" x14ac:dyDescent="0.35">
      <c r="H281" s="1"/>
    </row>
    <row r="282" spans="8:8" ht="16.5" x14ac:dyDescent="0.35">
      <c r="H282" s="1"/>
    </row>
    <row r="283" spans="8:8" ht="16.5" x14ac:dyDescent="0.35">
      <c r="H283" s="1"/>
    </row>
    <row r="284" spans="8:8" ht="16.5" x14ac:dyDescent="0.35">
      <c r="H284" s="1"/>
    </row>
    <row r="285" spans="8:8" ht="16.5" x14ac:dyDescent="0.35">
      <c r="H285" s="1"/>
    </row>
    <row r="286" spans="8:8" ht="16.5" x14ac:dyDescent="0.35">
      <c r="H286" s="1"/>
    </row>
    <row r="287" spans="8:8" ht="16.5" x14ac:dyDescent="0.35">
      <c r="H287" s="1"/>
    </row>
    <row r="288" spans="8:8" ht="16.5" x14ac:dyDescent="0.35">
      <c r="H288" s="1"/>
    </row>
    <row r="289" spans="8:8" ht="16.5" x14ac:dyDescent="0.35">
      <c r="H289" s="1"/>
    </row>
    <row r="290" spans="8:8" ht="16.5" x14ac:dyDescent="0.35">
      <c r="H290" s="1"/>
    </row>
    <row r="291" spans="8:8" ht="16.5" x14ac:dyDescent="0.35">
      <c r="H291" s="1"/>
    </row>
    <row r="292" spans="8:8" ht="16.5" x14ac:dyDescent="0.35">
      <c r="H292" s="1"/>
    </row>
    <row r="293" spans="8:8" ht="16.5" x14ac:dyDescent="0.35">
      <c r="H293" s="1"/>
    </row>
    <row r="294" spans="8:8" ht="16.5" x14ac:dyDescent="0.35">
      <c r="H294" s="1"/>
    </row>
    <row r="295" spans="8:8" ht="16.5" x14ac:dyDescent="0.35">
      <c r="H295" s="1"/>
    </row>
    <row r="296" spans="8:8" ht="16.5" x14ac:dyDescent="0.35">
      <c r="H296" s="1"/>
    </row>
    <row r="297" spans="8:8" ht="16.5" x14ac:dyDescent="0.35">
      <c r="H297" s="1"/>
    </row>
    <row r="298" spans="8:8" ht="16.5" x14ac:dyDescent="0.35">
      <c r="H298" s="1"/>
    </row>
    <row r="299" spans="8:8" ht="16.5" x14ac:dyDescent="0.35">
      <c r="H299" s="1"/>
    </row>
    <row r="300" spans="8:8" ht="16.5" x14ac:dyDescent="0.35">
      <c r="H300" s="1"/>
    </row>
    <row r="301" spans="8:8" ht="16.5" x14ac:dyDescent="0.35">
      <c r="H301" s="1"/>
    </row>
    <row r="302" spans="8:8" ht="16.5" x14ac:dyDescent="0.35">
      <c r="H302" s="1"/>
    </row>
    <row r="303" spans="8:8" ht="16.5" x14ac:dyDescent="0.35">
      <c r="H303" s="1"/>
    </row>
    <row r="304" spans="8:8" ht="16.5" x14ac:dyDescent="0.35">
      <c r="H304" s="1"/>
    </row>
    <row r="305" spans="8:8" ht="16.5" x14ac:dyDescent="0.35">
      <c r="H305" s="1"/>
    </row>
    <row r="306" spans="8:8" ht="16.5" x14ac:dyDescent="0.35">
      <c r="H306" s="1"/>
    </row>
    <row r="307" spans="8:8" ht="16.5" x14ac:dyDescent="0.35">
      <c r="H307" s="1"/>
    </row>
    <row r="308" spans="8:8" ht="16.5" x14ac:dyDescent="0.35">
      <c r="H308" s="1"/>
    </row>
    <row r="309" spans="8:8" ht="16.5" x14ac:dyDescent="0.35">
      <c r="H309" s="1"/>
    </row>
    <row r="310" spans="8:8" ht="16.5" x14ac:dyDescent="0.35">
      <c r="H310" s="1"/>
    </row>
    <row r="311" spans="8:8" ht="16.5" x14ac:dyDescent="0.35">
      <c r="H311" s="1"/>
    </row>
    <row r="312" spans="8:8" ht="16.5" x14ac:dyDescent="0.35">
      <c r="H312" s="1"/>
    </row>
    <row r="313" spans="8:8" ht="16.5" x14ac:dyDescent="0.35">
      <c r="H313" s="1"/>
    </row>
    <row r="314" spans="8:8" ht="16.5" x14ac:dyDescent="0.35">
      <c r="H314" s="1"/>
    </row>
    <row r="315" spans="8:8" ht="16.5" x14ac:dyDescent="0.35">
      <c r="H315" s="1"/>
    </row>
    <row r="316" spans="8:8" ht="16.5" x14ac:dyDescent="0.35">
      <c r="H316" s="1"/>
    </row>
    <row r="317" spans="8:8" ht="16.5" x14ac:dyDescent="0.35">
      <c r="H317" s="1"/>
    </row>
    <row r="318" spans="8:8" ht="16.5" x14ac:dyDescent="0.35">
      <c r="H318" s="1"/>
    </row>
    <row r="319" spans="8:8" ht="16.5" x14ac:dyDescent="0.35">
      <c r="H319" s="1"/>
    </row>
    <row r="320" spans="8:8" ht="16.5" x14ac:dyDescent="0.35">
      <c r="H320" s="1"/>
    </row>
    <row r="321" spans="8:8" ht="16.5" x14ac:dyDescent="0.35">
      <c r="H321" s="1"/>
    </row>
    <row r="322" spans="8:8" ht="16.5" x14ac:dyDescent="0.35">
      <c r="H322" s="1"/>
    </row>
    <row r="323" spans="8:8" ht="16.5" x14ac:dyDescent="0.35">
      <c r="H323" s="1"/>
    </row>
    <row r="324" spans="8:8" ht="16.5" x14ac:dyDescent="0.35">
      <c r="H324" s="1"/>
    </row>
    <row r="325" spans="8:8" ht="16.5" x14ac:dyDescent="0.35">
      <c r="H325" s="1"/>
    </row>
    <row r="326" spans="8:8" ht="16.5" x14ac:dyDescent="0.35">
      <c r="H326" s="1"/>
    </row>
    <row r="327" spans="8:8" ht="16.5" x14ac:dyDescent="0.35">
      <c r="H327" s="1"/>
    </row>
    <row r="328" spans="8:8" ht="16.5" x14ac:dyDescent="0.35">
      <c r="H328" s="1"/>
    </row>
    <row r="329" spans="8:8" ht="16.5" x14ac:dyDescent="0.35">
      <c r="H329" s="1"/>
    </row>
    <row r="330" spans="8:8" ht="16.5" x14ac:dyDescent="0.35">
      <c r="H330" s="1"/>
    </row>
    <row r="331" spans="8:8" ht="16.5" x14ac:dyDescent="0.35">
      <c r="H331" s="1"/>
    </row>
    <row r="332" spans="8:8" ht="16.5" x14ac:dyDescent="0.35">
      <c r="H332" s="1"/>
    </row>
    <row r="333" spans="8:8" ht="16.5" x14ac:dyDescent="0.35">
      <c r="H333" s="1"/>
    </row>
    <row r="334" spans="8:8" ht="16.5" x14ac:dyDescent="0.35">
      <c r="H334" s="1"/>
    </row>
    <row r="335" spans="8:8" ht="16.5" x14ac:dyDescent="0.35">
      <c r="H335" s="1"/>
    </row>
    <row r="336" spans="8:8" ht="16.5" x14ac:dyDescent="0.35">
      <c r="H336" s="1"/>
    </row>
    <row r="337" spans="8:8" ht="16.5" x14ac:dyDescent="0.35">
      <c r="H337" s="1"/>
    </row>
    <row r="338" spans="8:8" ht="16.5" x14ac:dyDescent="0.35">
      <c r="H338" s="1"/>
    </row>
    <row r="339" spans="8:8" ht="16.5" x14ac:dyDescent="0.35">
      <c r="H339" s="1"/>
    </row>
    <row r="340" spans="8:8" ht="16.5" x14ac:dyDescent="0.35">
      <c r="H340" s="1"/>
    </row>
    <row r="341" spans="8:8" ht="16.5" x14ac:dyDescent="0.35">
      <c r="H341" s="1"/>
    </row>
    <row r="342" spans="8:8" ht="16.5" x14ac:dyDescent="0.35">
      <c r="H342" s="1"/>
    </row>
    <row r="343" spans="8:8" ht="16.5" x14ac:dyDescent="0.35">
      <c r="H343" s="1"/>
    </row>
    <row r="344" spans="8:8" ht="16.5" x14ac:dyDescent="0.35">
      <c r="H344" s="1"/>
    </row>
    <row r="345" spans="8:8" ht="16.5" x14ac:dyDescent="0.35">
      <c r="H345" s="1"/>
    </row>
    <row r="346" spans="8:8" ht="16.5" x14ac:dyDescent="0.35">
      <c r="H346" s="1"/>
    </row>
    <row r="347" spans="8:8" ht="16.5" x14ac:dyDescent="0.35">
      <c r="H347" s="1"/>
    </row>
    <row r="348" spans="8:8" ht="16.5" x14ac:dyDescent="0.35">
      <c r="H348" s="1"/>
    </row>
    <row r="349" spans="8:8" ht="16.5" x14ac:dyDescent="0.35">
      <c r="H349" s="1"/>
    </row>
    <row r="350" spans="8:8" ht="16.5" x14ac:dyDescent="0.35">
      <c r="H350" s="1"/>
    </row>
    <row r="351" spans="8:8" ht="16.5" x14ac:dyDescent="0.35">
      <c r="H351" s="1"/>
    </row>
    <row r="352" spans="8:8" ht="16.5" x14ac:dyDescent="0.35">
      <c r="H352" s="1"/>
    </row>
    <row r="353" spans="8:8" ht="16.5" x14ac:dyDescent="0.35">
      <c r="H353" s="1"/>
    </row>
    <row r="354" spans="8:8" ht="16.5" x14ac:dyDescent="0.35">
      <c r="H354" s="1"/>
    </row>
    <row r="355" spans="8:8" ht="16.5" x14ac:dyDescent="0.35">
      <c r="H355" s="1"/>
    </row>
    <row r="356" spans="8:8" ht="16.5" x14ac:dyDescent="0.35">
      <c r="H356" s="1"/>
    </row>
    <row r="357" spans="8:8" ht="16.5" x14ac:dyDescent="0.35">
      <c r="H357" s="1"/>
    </row>
    <row r="358" spans="8:8" ht="16.5" x14ac:dyDescent="0.35">
      <c r="H358" s="1"/>
    </row>
    <row r="359" spans="8:8" ht="16.5" x14ac:dyDescent="0.35">
      <c r="H359" s="1"/>
    </row>
    <row r="360" spans="8:8" ht="16.5" x14ac:dyDescent="0.35">
      <c r="H360" s="1"/>
    </row>
    <row r="361" spans="8:8" ht="16.5" x14ac:dyDescent="0.35">
      <c r="H361" s="1"/>
    </row>
    <row r="362" spans="8:8" ht="16.5" x14ac:dyDescent="0.35">
      <c r="H362" s="1"/>
    </row>
    <row r="363" spans="8:8" ht="16.5" x14ac:dyDescent="0.35">
      <c r="H363" s="1"/>
    </row>
    <row r="364" spans="8:8" ht="16.5" x14ac:dyDescent="0.35">
      <c r="H364" s="1"/>
    </row>
    <row r="365" spans="8:8" ht="16.5" x14ac:dyDescent="0.35">
      <c r="H365" s="1"/>
    </row>
    <row r="366" spans="8:8" ht="16.5" x14ac:dyDescent="0.35">
      <c r="H366" s="1"/>
    </row>
    <row r="367" spans="8:8" ht="16.5" x14ac:dyDescent="0.35">
      <c r="H367" s="1"/>
    </row>
    <row r="368" spans="8:8" ht="16.5" x14ac:dyDescent="0.35">
      <c r="H368" s="1"/>
    </row>
    <row r="369" spans="8:8" ht="16.5" x14ac:dyDescent="0.35">
      <c r="H369" s="1"/>
    </row>
    <row r="370" spans="8:8" ht="16.5" x14ac:dyDescent="0.35">
      <c r="H370" s="1"/>
    </row>
    <row r="371" spans="8:8" ht="16.5" x14ac:dyDescent="0.35">
      <c r="H371" s="1"/>
    </row>
    <row r="372" spans="8:8" ht="16.5" x14ac:dyDescent="0.35">
      <c r="H372" s="1"/>
    </row>
    <row r="373" spans="8:8" ht="16.5" x14ac:dyDescent="0.35">
      <c r="H373" s="1"/>
    </row>
    <row r="374" spans="8:8" ht="16.5" x14ac:dyDescent="0.35">
      <c r="H374" s="1"/>
    </row>
    <row r="375" spans="8:8" ht="16.5" x14ac:dyDescent="0.35">
      <c r="H375" s="1"/>
    </row>
    <row r="376" spans="8:8" ht="16.5" x14ac:dyDescent="0.35">
      <c r="H376" s="1"/>
    </row>
    <row r="377" spans="8:8" ht="16.5" x14ac:dyDescent="0.35">
      <c r="H377" s="1"/>
    </row>
    <row r="378" spans="8:8" ht="16.5" x14ac:dyDescent="0.35">
      <c r="H378" s="1"/>
    </row>
    <row r="379" spans="8:8" ht="16.5" x14ac:dyDescent="0.35">
      <c r="H379" s="1"/>
    </row>
    <row r="380" spans="8:8" ht="16.5" x14ac:dyDescent="0.35">
      <c r="H380" s="1"/>
    </row>
    <row r="381" spans="8:8" ht="16.5" x14ac:dyDescent="0.35">
      <c r="H381" s="1"/>
    </row>
    <row r="382" spans="8:8" ht="16.5" x14ac:dyDescent="0.35">
      <c r="H382" s="1"/>
    </row>
    <row r="383" spans="8:8" ht="16.5" x14ac:dyDescent="0.35">
      <c r="H383" s="1"/>
    </row>
    <row r="384" spans="8:8" ht="16.5" x14ac:dyDescent="0.35">
      <c r="H384" s="1"/>
    </row>
    <row r="385" spans="8:8" ht="16.5" x14ac:dyDescent="0.35">
      <c r="H385" s="1"/>
    </row>
    <row r="386" spans="8:8" ht="16.5" x14ac:dyDescent="0.35">
      <c r="H386" s="1"/>
    </row>
    <row r="387" spans="8:8" ht="16.5" x14ac:dyDescent="0.35">
      <c r="H387" s="1"/>
    </row>
    <row r="388" spans="8:8" ht="16.5" x14ac:dyDescent="0.35">
      <c r="H388" s="1"/>
    </row>
    <row r="389" spans="8:8" ht="16.5" x14ac:dyDescent="0.35">
      <c r="H389" s="1"/>
    </row>
    <row r="390" spans="8:8" ht="16.5" x14ac:dyDescent="0.35">
      <c r="H390" s="1"/>
    </row>
    <row r="391" spans="8:8" ht="16.5" x14ac:dyDescent="0.35">
      <c r="H391" s="1"/>
    </row>
    <row r="392" spans="8:8" ht="16.5" x14ac:dyDescent="0.35">
      <c r="H392" s="1"/>
    </row>
    <row r="393" spans="8:8" ht="16.5" x14ac:dyDescent="0.35">
      <c r="H393" s="1"/>
    </row>
    <row r="394" spans="8:8" ht="16.5" x14ac:dyDescent="0.35">
      <c r="H394" s="1"/>
    </row>
    <row r="395" spans="8:8" ht="16.5" x14ac:dyDescent="0.35">
      <c r="H395" s="1"/>
    </row>
    <row r="396" spans="8:8" ht="16.5" x14ac:dyDescent="0.35">
      <c r="H396" s="1"/>
    </row>
    <row r="397" spans="8:8" ht="16.5" x14ac:dyDescent="0.35">
      <c r="H397" s="1"/>
    </row>
    <row r="398" spans="8:8" ht="16.5" x14ac:dyDescent="0.35">
      <c r="H398" s="1"/>
    </row>
    <row r="399" spans="8:8" ht="16.5" x14ac:dyDescent="0.35">
      <c r="H399" s="1"/>
    </row>
    <row r="400" spans="8:8" ht="16.5" x14ac:dyDescent="0.35">
      <c r="H400" s="1"/>
    </row>
    <row r="401" spans="8:8" ht="16.5" x14ac:dyDescent="0.35">
      <c r="H401" s="1"/>
    </row>
    <row r="402" spans="8:8" ht="16.5" x14ac:dyDescent="0.35">
      <c r="H402" s="1"/>
    </row>
    <row r="403" spans="8:8" ht="16.5" x14ac:dyDescent="0.35">
      <c r="H403" s="1"/>
    </row>
    <row r="404" spans="8:8" ht="16.5" x14ac:dyDescent="0.35">
      <c r="H404" s="1"/>
    </row>
    <row r="405" spans="8:8" ht="16.5" x14ac:dyDescent="0.35">
      <c r="H405" s="1"/>
    </row>
    <row r="406" spans="8:8" ht="16.5" x14ac:dyDescent="0.35">
      <c r="H406" s="1"/>
    </row>
    <row r="407" spans="8:8" ht="16.5" x14ac:dyDescent="0.35">
      <c r="H407" s="1"/>
    </row>
    <row r="408" spans="8:8" ht="16.5" x14ac:dyDescent="0.35">
      <c r="H408" s="1"/>
    </row>
    <row r="409" spans="8:8" ht="16.5" x14ac:dyDescent="0.35">
      <c r="H409" s="1"/>
    </row>
    <row r="410" spans="8:8" ht="16.5" x14ac:dyDescent="0.35">
      <c r="H410" s="1"/>
    </row>
    <row r="411" spans="8:8" ht="16.5" x14ac:dyDescent="0.35">
      <c r="H411" s="1"/>
    </row>
    <row r="412" spans="8:8" ht="16.5" x14ac:dyDescent="0.35">
      <c r="H412" s="1"/>
    </row>
    <row r="413" spans="8:8" ht="16.5" x14ac:dyDescent="0.35">
      <c r="H413" s="1"/>
    </row>
    <row r="414" spans="8:8" ht="16.5" x14ac:dyDescent="0.35">
      <c r="H414" s="1"/>
    </row>
    <row r="415" spans="8:8" ht="16.5" x14ac:dyDescent="0.35">
      <c r="H415" s="1"/>
    </row>
    <row r="416" spans="8:8" ht="16.5" x14ac:dyDescent="0.35">
      <c r="H416" s="1"/>
    </row>
    <row r="417" spans="8:8" ht="16.5" x14ac:dyDescent="0.35">
      <c r="H417" s="1"/>
    </row>
    <row r="418" spans="8:8" ht="16.5" x14ac:dyDescent="0.35">
      <c r="H418" s="1"/>
    </row>
    <row r="419" spans="8:8" ht="16.5" x14ac:dyDescent="0.35">
      <c r="H419" s="1"/>
    </row>
    <row r="420" spans="8:8" ht="16.5" x14ac:dyDescent="0.35">
      <c r="H420" s="1"/>
    </row>
    <row r="421" spans="8:8" ht="16.5" x14ac:dyDescent="0.35">
      <c r="H421" s="1"/>
    </row>
    <row r="422" spans="8:8" ht="16.5" x14ac:dyDescent="0.35">
      <c r="H422" s="1"/>
    </row>
    <row r="423" spans="8:8" ht="16.5" x14ac:dyDescent="0.35">
      <c r="H423" s="1"/>
    </row>
    <row r="424" spans="8:8" ht="16.5" x14ac:dyDescent="0.35">
      <c r="H424" s="1"/>
    </row>
    <row r="425" spans="8:8" ht="16.5" x14ac:dyDescent="0.35">
      <c r="H425" s="1"/>
    </row>
    <row r="426" spans="8:8" ht="16.5" x14ac:dyDescent="0.35">
      <c r="H426" s="1"/>
    </row>
    <row r="427" spans="8:8" ht="16.5" x14ac:dyDescent="0.35">
      <c r="H427" s="1"/>
    </row>
    <row r="428" spans="8:8" ht="16.5" x14ac:dyDescent="0.35">
      <c r="H428" s="1"/>
    </row>
    <row r="429" spans="8:8" ht="16.5" x14ac:dyDescent="0.35">
      <c r="H429" s="1"/>
    </row>
    <row r="430" spans="8:8" ht="16.5" x14ac:dyDescent="0.35">
      <c r="H430" s="1"/>
    </row>
    <row r="431" spans="8:8" ht="16.5" x14ac:dyDescent="0.35">
      <c r="H431" s="1"/>
    </row>
    <row r="432" spans="8:8" ht="16.5" x14ac:dyDescent="0.35">
      <c r="H432" s="1"/>
    </row>
    <row r="433" spans="8:8" ht="16.5" x14ac:dyDescent="0.35">
      <c r="H433" s="1"/>
    </row>
    <row r="434" spans="8:8" ht="16.5" x14ac:dyDescent="0.35">
      <c r="H434" s="1"/>
    </row>
    <row r="435" spans="8:8" ht="16.5" x14ac:dyDescent="0.35">
      <c r="H435" s="1"/>
    </row>
    <row r="436" spans="8:8" ht="16.5" x14ac:dyDescent="0.35">
      <c r="H436" s="1"/>
    </row>
    <row r="437" spans="8:8" ht="16.5" x14ac:dyDescent="0.35">
      <c r="H437" s="1"/>
    </row>
    <row r="438" spans="8:8" ht="16.5" x14ac:dyDescent="0.35">
      <c r="H438" s="1"/>
    </row>
    <row r="439" spans="8:8" ht="16.5" x14ac:dyDescent="0.35">
      <c r="H439" s="1"/>
    </row>
    <row r="440" spans="8:8" ht="16.5" x14ac:dyDescent="0.35">
      <c r="H440" s="1"/>
    </row>
    <row r="441" spans="8:8" ht="16.5" x14ac:dyDescent="0.35">
      <c r="H441" s="1"/>
    </row>
    <row r="442" spans="8:8" ht="16.5" x14ac:dyDescent="0.35">
      <c r="H442" s="1"/>
    </row>
    <row r="443" spans="8:8" ht="16.5" x14ac:dyDescent="0.35">
      <c r="H443" s="1"/>
    </row>
    <row r="444" spans="8:8" ht="16.5" x14ac:dyDescent="0.35">
      <c r="H444" s="1"/>
    </row>
    <row r="445" spans="8:8" ht="16.5" x14ac:dyDescent="0.35">
      <c r="H445" s="1"/>
    </row>
    <row r="446" spans="8:8" ht="16.5" x14ac:dyDescent="0.35">
      <c r="H446" s="1"/>
    </row>
    <row r="447" spans="8:8" ht="16.5" x14ac:dyDescent="0.35">
      <c r="H447" s="1"/>
    </row>
    <row r="448" spans="8:8" ht="16.5" x14ac:dyDescent="0.35">
      <c r="H448" s="1"/>
    </row>
    <row r="449" spans="8:8" ht="16.5" x14ac:dyDescent="0.35">
      <c r="H449" s="1"/>
    </row>
    <row r="450" spans="8:8" ht="16.5" x14ac:dyDescent="0.35">
      <c r="H450" s="1"/>
    </row>
    <row r="451" spans="8:8" ht="16.5" x14ac:dyDescent="0.35">
      <c r="H451" s="1"/>
    </row>
    <row r="452" spans="8:8" ht="16.5" x14ac:dyDescent="0.35">
      <c r="H452" s="1"/>
    </row>
    <row r="453" spans="8:8" ht="16.5" x14ac:dyDescent="0.35">
      <c r="H453" s="1"/>
    </row>
    <row r="454" spans="8:8" ht="16.5" x14ac:dyDescent="0.35">
      <c r="H454" s="1"/>
    </row>
    <row r="455" spans="8:8" ht="16.5" x14ac:dyDescent="0.35">
      <c r="H455" s="1"/>
    </row>
    <row r="456" spans="8:8" ht="16.5" x14ac:dyDescent="0.35">
      <c r="H456" s="1"/>
    </row>
    <row r="457" spans="8:8" ht="16.5" x14ac:dyDescent="0.35">
      <c r="H457" s="1"/>
    </row>
    <row r="458" spans="8:8" ht="16.5" x14ac:dyDescent="0.35">
      <c r="H458" s="1"/>
    </row>
    <row r="459" spans="8:8" ht="16.5" x14ac:dyDescent="0.35">
      <c r="H459" s="1"/>
    </row>
    <row r="460" spans="8:8" ht="16.5" x14ac:dyDescent="0.35">
      <c r="H460" s="1"/>
    </row>
    <row r="461" spans="8:8" ht="16.5" x14ac:dyDescent="0.35">
      <c r="H461" s="1"/>
    </row>
    <row r="462" spans="8:8" ht="16.5" x14ac:dyDescent="0.35">
      <c r="H462" s="1"/>
    </row>
    <row r="463" spans="8:8" ht="16.5" x14ac:dyDescent="0.35">
      <c r="H463" s="1"/>
    </row>
    <row r="464" spans="8:8" ht="16.5" x14ac:dyDescent="0.35">
      <c r="H464" s="1"/>
    </row>
    <row r="465" spans="8:8" ht="16.5" x14ac:dyDescent="0.35">
      <c r="H465" s="1"/>
    </row>
    <row r="466" spans="8:8" ht="16.5" x14ac:dyDescent="0.35">
      <c r="H466" s="1"/>
    </row>
    <row r="467" spans="8:8" ht="16.5" x14ac:dyDescent="0.35">
      <c r="H467" s="1"/>
    </row>
    <row r="468" spans="8:8" ht="16.5" x14ac:dyDescent="0.35">
      <c r="H468" s="1"/>
    </row>
    <row r="469" spans="8:8" ht="16.5" x14ac:dyDescent="0.35">
      <c r="H469" s="1"/>
    </row>
    <row r="470" spans="8:8" ht="16.5" x14ac:dyDescent="0.35">
      <c r="H470" s="1"/>
    </row>
    <row r="471" spans="8:8" ht="16.5" x14ac:dyDescent="0.35">
      <c r="H471" s="1"/>
    </row>
    <row r="472" spans="8:8" ht="16.5" x14ac:dyDescent="0.35">
      <c r="H472" s="1"/>
    </row>
    <row r="473" spans="8:8" ht="16.5" x14ac:dyDescent="0.35">
      <c r="H473" s="1"/>
    </row>
    <row r="474" spans="8:8" ht="16.5" x14ac:dyDescent="0.35">
      <c r="H474" s="1"/>
    </row>
    <row r="475" spans="8:8" ht="16.5" x14ac:dyDescent="0.35">
      <c r="H475" s="1"/>
    </row>
    <row r="476" spans="8:8" ht="16.5" x14ac:dyDescent="0.35">
      <c r="H476" s="1"/>
    </row>
    <row r="477" spans="8:8" ht="16.5" x14ac:dyDescent="0.35">
      <c r="H477" s="1"/>
    </row>
    <row r="478" spans="8:8" ht="16.5" x14ac:dyDescent="0.35">
      <c r="H478" s="1"/>
    </row>
    <row r="479" spans="8:8" ht="16.5" x14ac:dyDescent="0.35">
      <c r="H479" s="1"/>
    </row>
    <row r="480" spans="8:8" ht="16.5" x14ac:dyDescent="0.35">
      <c r="H480" s="1"/>
    </row>
    <row r="481" spans="8:8" ht="16.5" x14ac:dyDescent="0.35">
      <c r="H481" s="1"/>
    </row>
    <row r="482" spans="8:8" ht="16.5" x14ac:dyDescent="0.35">
      <c r="H482" s="1"/>
    </row>
    <row r="483" spans="8:8" ht="16.5" x14ac:dyDescent="0.35">
      <c r="H483" s="1"/>
    </row>
    <row r="484" spans="8:8" ht="16.5" x14ac:dyDescent="0.35">
      <c r="H484" s="1"/>
    </row>
    <row r="485" spans="8:8" ht="16.5" x14ac:dyDescent="0.35">
      <c r="H485" s="1"/>
    </row>
    <row r="486" spans="8:8" ht="16.5" x14ac:dyDescent="0.35">
      <c r="H486" s="1"/>
    </row>
    <row r="487" spans="8:8" ht="16.5" x14ac:dyDescent="0.35">
      <c r="H487" s="1"/>
    </row>
    <row r="488" spans="8:8" ht="16.5" x14ac:dyDescent="0.35">
      <c r="H488" s="1"/>
    </row>
    <row r="489" spans="8:8" ht="16.5" x14ac:dyDescent="0.35">
      <c r="H489" s="1"/>
    </row>
    <row r="490" spans="8:8" ht="16.5" x14ac:dyDescent="0.35">
      <c r="H490" s="1"/>
    </row>
    <row r="491" spans="8:8" ht="16.5" x14ac:dyDescent="0.35">
      <c r="H491" s="1"/>
    </row>
    <row r="492" spans="8:8" ht="16.5" x14ac:dyDescent="0.35">
      <c r="H492" s="1"/>
    </row>
    <row r="493" spans="8:8" ht="16.5" x14ac:dyDescent="0.35">
      <c r="H493" s="1"/>
    </row>
    <row r="494" spans="8:8" ht="16.5" x14ac:dyDescent="0.35">
      <c r="H494" s="1"/>
    </row>
    <row r="495" spans="8:8" ht="16.5" x14ac:dyDescent="0.35">
      <c r="H495" s="1"/>
    </row>
    <row r="496" spans="8:8" ht="16.5" x14ac:dyDescent="0.35">
      <c r="H496" s="1"/>
    </row>
    <row r="497" spans="8:8" ht="16.5" x14ac:dyDescent="0.35">
      <c r="H497" s="1"/>
    </row>
    <row r="498" spans="8:8" ht="16.5" x14ac:dyDescent="0.35">
      <c r="H498" s="1"/>
    </row>
    <row r="499" spans="8:8" ht="16.5" x14ac:dyDescent="0.35">
      <c r="H499" s="1"/>
    </row>
    <row r="500" spans="8:8" ht="16.5" x14ac:dyDescent="0.35">
      <c r="H500" s="1"/>
    </row>
    <row r="501" spans="8:8" ht="16.5" x14ac:dyDescent="0.35">
      <c r="H501" s="1"/>
    </row>
    <row r="502" spans="8:8" ht="16.5" x14ac:dyDescent="0.35">
      <c r="H502" s="1"/>
    </row>
    <row r="503" spans="8:8" ht="16.5" x14ac:dyDescent="0.35">
      <c r="H503" s="1"/>
    </row>
    <row r="504" spans="8:8" ht="16.5" x14ac:dyDescent="0.35">
      <c r="H504" s="1"/>
    </row>
    <row r="505" spans="8:8" ht="16.5" x14ac:dyDescent="0.35">
      <c r="H505" s="1"/>
    </row>
    <row r="506" spans="8:8" ht="16.5" x14ac:dyDescent="0.35">
      <c r="H506" s="1"/>
    </row>
    <row r="507" spans="8:8" ht="16.5" x14ac:dyDescent="0.35">
      <c r="H507" s="1"/>
    </row>
    <row r="508" spans="8:8" ht="16.5" x14ac:dyDescent="0.35">
      <c r="H508" s="1"/>
    </row>
    <row r="509" spans="8:8" ht="16.5" x14ac:dyDescent="0.35">
      <c r="H509" s="1"/>
    </row>
    <row r="510" spans="8:8" ht="16.5" x14ac:dyDescent="0.35">
      <c r="H510" s="1"/>
    </row>
    <row r="511" spans="8:8" ht="16.5" x14ac:dyDescent="0.35">
      <c r="H511" s="1"/>
    </row>
    <row r="512" spans="8:8" ht="16.5" x14ac:dyDescent="0.35">
      <c r="H512" s="1"/>
    </row>
    <row r="513" spans="8:8" ht="16.5" x14ac:dyDescent="0.35">
      <c r="H513" s="1"/>
    </row>
    <row r="514" spans="8:8" ht="16.5" x14ac:dyDescent="0.35">
      <c r="H514" s="1"/>
    </row>
    <row r="515" spans="8:8" ht="16.5" x14ac:dyDescent="0.35">
      <c r="H515" s="1"/>
    </row>
    <row r="516" spans="8:8" ht="16.5" x14ac:dyDescent="0.35">
      <c r="H516" s="1"/>
    </row>
    <row r="517" spans="8:8" ht="16.5" x14ac:dyDescent="0.35">
      <c r="H517" s="1"/>
    </row>
    <row r="518" spans="8:8" ht="16.5" x14ac:dyDescent="0.35">
      <c r="H518" s="1"/>
    </row>
    <row r="519" spans="8:8" ht="16.5" x14ac:dyDescent="0.35">
      <c r="H519" s="1"/>
    </row>
    <row r="520" spans="8:8" ht="16.5" x14ac:dyDescent="0.35">
      <c r="H520" s="1"/>
    </row>
    <row r="521" spans="8:8" ht="16.5" x14ac:dyDescent="0.35">
      <c r="H521" s="1"/>
    </row>
    <row r="522" spans="8:8" ht="16.5" x14ac:dyDescent="0.35">
      <c r="H522" s="1"/>
    </row>
    <row r="523" spans="8:8" ht="16.5" x14ac:dyDescent="0.35">
      <c r="H523" s="1"/>
    </row>
    <row r="524" spans="8:8" ht="16.5" x14ac:dyDescent="0.35">
      <c r="H524" s="1"/>
    </row>
    <row r="525" spans="8:8" ht="16.5" x14ac:dyDescent="0.35">
      <c r="H525" s="1"/>
    </row>
    <row r="526" spans="8:8" ht="16.5" x14ac:dyDescent="0.35">
      <c r="H526" s="1"/>
    </row>
    <row r="527" spans="8:8" ht="16.5" x14ac:dyDescent="0.35">
      <c r="H527" s="1"/>
    </row>
    <row r="528" spans="8:8" ht="16.5" x14ac:dyDescent="0.35">
      <c r="H528" s="1"/>
    </row>
    <row r="529" spans="8:8" ht="16.5" x14ac:dyDescent="0.35">
      <c r="H529" s="1"/>
    </row>
    <row r="530" spans="8:8" ht="16.5" x14ac:dyDescent="0.35">
      <c r="H530" s="1"/>
    </row>
    <row r="531" spans="8:8" ht="16.5" x14ac:dyDescent="0.35">
      <c r="H531" s="1"/>
    </row>
    <row r="532" spans="8:8" ht="16.5" x14ac:dyDescent="0.35">
      <c r="H532" s="1"/>
    </row>
    <row r="533" spans="8:8" ht="16.5" x14ac:dyDescent="0.35">
      <c r="H533" s="1"/>
    </row>
    <row r="534" spans="8:8" ht="16.5" x14ac:dyDescent="0.35">
      <c r="H534" s="1"/>
    </row>
    <row r="535" spans="8:8" ht="16.5" x14ac:dyDescent="0.35">
      <c r="H535" s="1"/>
    </row>
    <row r="536" spans="8:8" ht="16.5" x14ac:dyDescent="0.35">
      <c r="H536" s="1"/>
    </row>
    <row r="537" spans="8:8" ht="16.5" x14ac:dyDescent="0.35">
      <c r="H537" s="1"/>
    </row>
    <row r="538" spans="8:8" ht="16.5" x14ac:dyDescent="0.35">
      <c r="H538" s="1"/>
    </row>
    <row r="539" spans="8:8" ht="16.5" x14ac:dyDescent="0.35">
      <c r="H539" s="1"/>
    </row>
    <row r="540" spans="8:8" ht="16.5" x14ac:dyDescent="0.35">
      <c r="H540" s="1"/>
    </row>
    <row r="541" spans="8:8" ht="16.5" x14ac:dyDescent="0.35">
      <c r="H541" s="1"/>
    </row>
    <row r="542" spans="8:8" ht="16.5" x14ac:dyDescent="0.35">
      <c r="H542" s="1"/>
    </row>
    <row r="543" spans="8:8" ht="16.5" x14ac:dyDescent="0.35">
      <c r="H543" s="1"/>
    </row>
    <row r="544" spans="8:8" ht="16.5" x14ac:dyDescent="0.35">
      <c r="H544" s="1"/>
    </row>
    <row r="545" spans="8:8" ht="16.5" x14ac:dyDescent="0.35">
      <c r="H545" s="1"/>
    </row>
    <row r="546" spans="8:8" ht="16.5" x14ac:dyDescent="0.35">
      <c r="H546" s="1"/>
    </row>
    <row r="547" spans="8:8" ht="16.5" x14ac:dyDescent="0.35">
      <c r="H547" s="1"/>
    </row>
    <row r="548" spans="8:8" ht="16.5" x14ac:dyDescent="0.35">
      <c r="H548" s="1"/>
    </row>
    <row r="549" spans="8:8" ht="16.5" x14ac:dyDescent="0.35">
      <c r="H549" s="1"/>
    </row>
    <row r="550" spans="8:8" ht="16.5" x14ac:dyDescent="0.35">
      <c r="H550" s="1"/>
    </row>
    <row r="551" spans="8:8" ht="16.5" x14ac:dyDescent="0.35">
      <c r="H551" s="1"/>
    </row>
    <row r="552" spans="8:8" ht="16.5" x14ac:dyDescent="0.35">
      <c r="H552" s="1"/>
    </row>
    <row r="553" spans="8:8" ht="16.5" x14ac:dyDescent="0.35">
      <c r="H553" s="1"/>
    </row>
    <row r="554" spans="8:8" ht="16.5" x14ac:dyDescent="0.35">
      <c r="H554" s="1"/>
    </row>
    <row r="555" spans="8:8" ht="16.5" x14ac:dyDescent="0.35">
      <c r="H555" s="1"/>
    </row>
    <row r="556" spans="8:8" ht="16.5" x14ac:dyDescent="0.35">
      <c r="H556" s="1"/>
    </row>
    <row r="557" spans="8:8" ht="16.5" x14ac:dyDescent="0.35">
      <c r="H557" s="1"/>
    </row>
    <row r="558" spans="8:8" ht="16.5" x14ac:dyDescent="0.35">
      <c r="H558" s="1"/>
    </row>
    <row r="559" spans="8:8" ht="16.5" x14ac:dyDescent="0.35">
      <c r="H559" s="1"/>
    </row>
    <row r="560" spans="8:8" ht="16.5" x14ac:dyDescent="0.35">
      <c r="H560" s="1"/>
    </row>
    <row r="561" spans="8:8" ht="16.5" x14ac:dyDescent="0.35">
      <c r="H561" s="1"/>
    </row>
    <row r="562" spans="8:8" ht="16.5" x14ac:dyDescent="0.35">
      <c r="H562" s="1"/>
    </row>
    <row r="563" spans="8:8" ht="16.5" x14ac:dyDescent="0.35">
      <c r="H563" s="1"/>
    </row>
    <row r="564" spans="8:8" ht="16.5" x14ac:dyDescent="0.35">
      <c r="H564" s="1"/>
    </row>
    <row r="565" spans="8:8" ht="16.5" x14ac:dyDescent="0.35">
      <c r="H565" s="1"/>
    </row>
    <row r="566" spans="8:8" ht="16.5" x14ac:dyDescent="0.35">
      <c r="H566" s="1"/>
    </row>
    <row r="567" spans="8:8" ht="16.5" x14ac:dyDescent="0.35">
      <c r="H567" s="1"/>
    </row>
    <row r="568" spans="8:8" ht="16.5" x14ac:dyDescent="0.35">
      <c r="H568" s="1"/>
    </row>
    <row r="569" spans="8:8" ht="16.5" x14ac:dyDescent="0.35">
      <c r="H569" s="1"/>
    </row>
    <row r="570" spans="8:8" ht="16.5" x14ac:dyDescent="0.35">
      <c r="H570" s="1"/>
    </row>
    <row r="571" spans="8:8" ht="16.5" x14ac:dyDescent="0.35">
      <c r="H571" s="1"/>
    </row>
    <row r="572" spans="8:8" ht="16.5" x14ac:dyDescent="0.35">
      <c r="H572" s="1"/>
    </row>
    <row r="573" spans="8:8" ht="16.5" x14ac:dyDescent="0.35">
      <c r="H573" s="1"/>
    </row>
    <row r="574" spans="8:8" ht="16.5" x14ac:dyDescent="0.35">
      <c r="H574" s="1"/>
    </row>
    <row r="575" spans="8:8" ht="16.5" x14ac:dyDescent="0.35">
      <c r="H575" s="1"/>
    </row>
    <row r="576" spans="8:8" ht="16.5" x14ac:dyDescent="0.35">
      <c r="H576" s="1"/>
    </row>
    <row r="577" spans="8:8" ht="16.5" x14ac:dyDescent="0.35">
      <c r="H577" s="1"/>
    </row>
    <row r="578" spans="8:8" ht="16.5" x14ac:dyDescent="0.35">
      <c r="H578" s="1"/>
    </row>
    <row r="579" spans="8:8" ht="16.5" x14ac:dyDescent="0.35">
      <c r="H579" s="1"/>
    </row>
    <row r="580" spans="8:8" ht="16.5" x14ac:dyDescent="0.35">
      <c r="H580" s="1"/>
    </row>
    <row r="581" spans="8:8" ht="16.5" x14ac:dyDescent="0.35">
      <c r="H581" s="1"/>
    </row>
    <row r="582" spans="8:8" ht="16.5" x14ac:dyDescent="0.35">
      <c r="H582" s="1"/>
    </row>
    <row r="583" spans="8:8" ht="16.5" x14ac:dyDescent="0.35">
      <c r="H583" s="1"/>
    </row>
    <row r="584" spans="8:8" ht="16.5" x14ac:dyDescent="0.35">
      <c r="H584" s="1"/>
    </row>
    <row r="585" spans="8:8" ht="16.5" x14ac:dyDescent="0.35">
      <c r="H585" s="1"/>
    </row>
    <row r="586" spans="8:8" ht="16.5" x14ac:dyDescent="0.35">
      <c r="H586" s="1"/>
    </row>
    <row r="587" spans="8:8" ht="16.5" x14ac:dyDescent="0.35">
      <c r="H587" s="1"/>
    </row>
    <row r="588" spans="8:8" ht="16.5" x14ac:dyDescent="0.35">
      <c r="H588" s="1"/>
    </row>
    <row r="589" spans="8:8" ht="16.5" x14ac:dyDescent="0.35">
      <c r="H589" s="1"/>
    </row>
    <row r="590" spans="8:8" ht="16.5" x14ac:dyDescent="0.35">
      <c r="H590" s="1"/>
    </row>
    <row r="591" spans="8:8" ht="16.5" x14ac:dyDescent="0.35">
      <c r="H591" s="1"/>
    </row>
    <row r="592" spans="8:8" ht="16.5" x14ac:dyDescent="0.35">
      <c r="H592" s="1"/>
    </row>
    <row r="593" spans="8:8" ht="16.5" x14ac:dyDescent="0.35">
      <c r="H593" s="1"/>
    </row>
    <row r="594" spans="8:8" ht="16.5" x14ac:dyDescent="0.35">
      <c r="H594" s="1"/>
    </row>
    <row r="595" spans="8:8" ht="16.5" x14ac:dyDescent="0.35">
      <c r="H595" s="1"/>
    </row>
    <row r="596" spans="8:8" ht="16.5" x14ac:dyDescent="0.35">
      <c r="H596" s="1"/>
    </row>
    <row r="597" spans="8:8" ht="16.5" x14ac:dyDescent="0.35">
      <c r="H597" s="1"/>
    </row>
    <row r="598" spans="8:8" ht="16.5" x14ac:dyDescent="0.35">
      <c r="H598" s="1"/>
    </row>
    <row r="599" spans="8:8" ht="16.5" x14ac:dyDescent="0.35">
      <c r="H599" s="1"/>
    </row>
    <row r="600" spans="8:8" ht="16.5" x14ac:dyDescent="0.35">
      <c r="H600" s="1"/>
    </row>
    <row r="601" spans="8:8" ht="16.5" x14ac:dyDescent="0.35">
      <c r="H601" s="1"/>
    </row>
    <row r="602" spans="8:8" ht="16.5" x14ac:dyDescent="0.35">
      <c r="H602" s="1"/>
    </row>
    <row r="603" spans="8:8" ht="16.5" x14ac:dyDescent="0.35">
      <c r="H603" s="1"/>
    </row>
    <row r="604" spans="8:8" ht="16.5" x14ac:dyDescent="0.35">
      <c r="H604" s="1"/>
    </row>
    <row r="605" spans="8:8" ht="16.5" x14ac:dyDescent="0.35">
      <c r="H605" s="1"/>
    </row>
    <row r="606" spans="8:8" ht="16.5" x14ac:dyDescent="0.35">
      <c r="H606" s="1"/>
    </row>
    <row r="607" spans="8:8" ht="16.5" x14ac:dyDescent="0.35">
      <c r="H607" s="1"/>
    </row>
    <row r="608" spans="8:8" ht="16.5" x14ac:dyDescent="0.35">
      <c r="H608" s="1"/>
    </row>
    <row r="609" spans="8:8" ht="16.5" x14ac:dyDescent="0.35">
      <c r="H609" s="1"/>
    </row>
    <row r="610" spans="8:8" ht="16.5" x14ac:dyDescent="0.35">
      <c r="H610" s="1"/>
    </row>
    <row r="611" spans="8:8" ht="16.5" x14ac:dyDescent="0.35">
      <c r="H611" s="1"/>
    </row>
    <row r="612" spans="8:8" ht="16.5" x14ac:dyDescent="0.35">
      <c r="H612" s="1"/>
    </row>
    <row r="613" spans="8:8" ht="16.5" x14ac:dyDescent="0.35">
      <c r="H613" s="1"/>
    </row>
    <row r="614" spans="8:8" ht="16.5" x14ac:dyDescent="0.35">
      <c r="H614" s="1"/>
    </row>
    <row r="615" spans="8:8" ht="16.5" x14ac:dyDescent="0.35">
      <c r="H615" s="1"/>
    </row>
    <row r="616" spans="8:8" ht="16.5" x14ac:dyDescent="0.35">
      <c r="H616" s="1"/>
    </row>
    <row r="617" spans="8:8" ht="16.5" x14ac:dyDescent="0.35">
      <c r="H617" s="1"/>
    </row>
    <row r="618" spans="8:8" ht="16.5" x14ac:dyDescent="0.35">
      <c r="H618" s="1"/>
    </row>
    <row r="619" spans="8:8" ht="16.5" x14ac:dyDescent="0.35">
      <c r="H619" s="1"/>
    </row>
    <row r="620" spans="8:8" ht="16.5" x14ac:dyDescent="0.35">
      <c r="H620" s="1"/>
    </row>
    <row r="621" spans="8:8" ht="16.5" x14ac:dyDescent="0.35">
      <c r="H621" s="1"/>
    </row>
    <row r="622" spans="8:8" ht="16.5" x14ac:dyDescent="0.35">
      <c r="H622" s="1"/>
    </row>
    <row r="623" spans="8:8" ht="16.5" x14ac:dyDescent="0.35">
      <c r="H623" s="1"/>
    </row>
    <row r="624" spans="8:8" ht="16.5" x14ac:dyDescent="0.35">
      <c r="H624" s="1"/>
    </row>
    <row r="625" spans="8:8" ht="16.5" x14ac:dyDescent="0.35">
      <c r="H625" s="1"/>
    </row>
    <row r="626" spans="8:8" ht="16.5" x14ac:dyDescent="0.35">
      <c r="H626" s="1"/>
    </row>
    <row r="627" spans="8:8" ht="16.5" x14ac:dyDescent="0.35">
      <c r="H627" s="1"/>
    </row>
    <row r="628" spans="8:8" ht="16.5" x14ac:dyDescent="0.35">
      <c r="H628" s="1"/>
    </row>
    <row r="629" spans="8:8" ht="16.5" x14ac:dyDescent="0.35">
      <c r="H629" s="1"/>
    </row>
    <row r="630" spans="8:8" ht="16.5" x14ac:dyDescent="0.35">
      <c r="H630" s="1"/>
    </row>
    <row r="631" spans="8:8" ht="16.5" x14ac:dyDescent="0.35">
      <c r="H631" s="1"/>
    </row>
    <row r="632" spans="8:8" ht="16.5" x14ac:dyDescent="0.35">
      <c r="H632" s="1"/>
    </row>
    <row r="633" spans="8:8" ht="16.5" x14ac:dyDescent="0.35">
      <c r="H633" s="1"/>
    </row>
    <row r="634" spans="8:8" ht="16.5" x14ac:dyDescent="0.35">
      <c r="H634" s="1"/>
    </row>
    <row r="635" spans="8:8" ht="16.5" x14ac:dyDescent="0.35">
      <c r="H635" s="1"/>
    </row>
    <row r="636" spans="8:8" ht="16.5" x14ac:dyDescent="0.35">
      <c r="H636" s="1"/>
    </row>
    <row r="637" spans="8:8" ht="16.5" x14ac:dyDescent="0.35">
      <c r="H637" s="1"/>
    </row>
    <row r="638" spans="8:8" ht="16.5" x14ac:dyDescent="0.35">
      <c r="H638" s="1"/>
    </row>
    <row r="639" spans="8:8" ht="16.5" x14ac:dyDescent="0.35">
      <c r="H639" s="1"/>
    </row>
    <row r="640" spans="8:8" ht="16.5" x14ac:dyDescent="0.35">
      <c r="H640" s="1"/>
    </row>
    <row r="641" spans="8:8" ht="16.5" x14ac:dyDescent="0.35">
      <c r="H641" s="1"/>
    </row>
    <row r="642" spans="8:8" ht="16.5" x14ac:dyDescent="0.35">
      <c r="H642" s="1"/>
    </row>
    <row r="643" spans="8:8" ht="16.5" x14ac:dyDescent="0.35">
      <c r="H643" s="1"/>
    </row>
    <row r="644" spans="8:8" ht="16.5" x14ac:dyDescent="0.35">
      <c r="H644" s="1"/>
    </row>
    <row r="645" spans="8:8" ht="16.5" x14ac:dyDescent="0.35">
      <c r="H645" s="1"/>
    </row>
    <row r="646" spans="8:8" ht="16.5" x14ac:dyDescent="0.35">
      <c r="H646" s="1"/>
    </row>
    <row r="647" spans="8:8" ht="16.5" x14ac:dyDescent="0.35">
      <c r="H647" s="1"/>
    </row>
    <row r="648" spans="8:8" ht="16.5" x14ac:dyDescent="0.35">
      <c r="H648" s="1"/>
    </row>
    <row r="649" spans="8:8" ht="16.5" x14ac:dyDescent="0.35">
      <c r="H649" s="1"/>
    </row>
    <row r="650" spans="8:8" ht="16.5" x14ac:dyDescent="0.35">
      <c r="H650" s="1"/>
    </row>
    <row r="651" spans="8:8" ht="16.5" x14ac:dyDescent="0.35">
      <c r="H651" s="1"/>
    </row>
    <row r="652" spans="8:8" ht="16.5" x14ac:dyDescent="0.35">
      <c r="H652" s="1"/>
    </row>
    <row r="653" spans="8:8" ht="16.5" x14ac:dyDescent="0.35">
      <c r="H653" s="1"/>
    </row>
    <row r="654" spans="8:8" ht="16.5" x14ac:dyDescent="0.35">
      <c r="H654" s="1"/>
    </row>
    <row r="655" spans="8:8" ht="16.5" x14ac:dyDescent="0.35">
      <c r="H655" s="1"/>
    </row>
    <row r="656" spans="8:8" ht="16.5" x14ac:dyDescent="0.35">
      <c r="H656" s="1"/>
    </row>
    <row r="657" spans="8:8" ht="16.5" x14ac:dyDescent="0.35">
      <c r="H657" s="1"/>
    </row>
    <row r="658" spans="8:8" ht="16.5" x14ac:dyDescent="0.35">
      <c r="H658" s="1"/>
    </row>
    <row r="659" spans="8:8" ht="16.5" x14ac:dyDescent="0.35">
      <c r="H659" s="1"/>
    </row>
    <row r="660" spans="8:8" ht="16.5" x14ac:dyDescent="0.35">
      <c r="H660" s="1"/>
    </row>
    <row r="661" spans="8:8" ht="16.5" x14ac:dyDescent="0.35">
      <c r="H661" s="1"/>
    </row>
    <row r="662" spans="8:8" ht="16.5" x14ac:dyDescent="0.35">
      <c r="H662" s="1"/>
    </row>
    <row r="663" spans="8:8" ht="16.5" x14ac:dyDescent="0.35">
      <c r="H663" s="1"/>
    </row>
    <row r="664" spans="8:8" ht="16.5" x14ac:dyDescent="0.35">
      <c r="H664" s="1"/>
    </row>
    <row r="665" spans="8:8" ht="16.5" x14ac:dyDescent="0.35">
      <c r="H665" s="1"/>
    </row>
    <row r="666" spans="8:8" ht="16.5" x14ac:dyDescent="0.35">
      <c r="H666" s="1"/>
    </row>
    <row r="667" spans="8:8" ht="16.5" x14ac:dyDescent="0.35">
      <c r="H667" s="1"/>
    </row>
    <row r="668" spans="8:8" ht="16.5" x14ac:dyDescent="0.35">
      <c r="H668" s="1"/>
    </row>
    <row r="669" spans="8:8" ht="16.5" x14ac:dyDescent="0.35">
      <c r="H669" s="1"/>
    </row>
    <row r="670" spans="8:8" ht="16.5" x14ac:dyDescent="0.35">
      <c r="H670" s="1"/>
    </row>
    <row r="671" spans="8:8" ht="16.5" x14ac:dyDescent="0.35">
      <c r="H671" s="1"/>
    </row>
    <row r="672" spans="8:8" ht="16.5" x14ac:dyDescent="0.35">
      <c r="H672" s="1"/>
    </row>
    <row r="673" spans="8:8" ht="16.5" x14ac:dyDescent="0.35">
      <c r="H673" s="1"/>
    </row>
    <row r="674" spans="8:8" ht="16.5" x14ac:dyDescent="0.35">
      <c r="H674" s="1"/>
    </row>
    <row r="675" spans="8:8" ht="16.5" x14ac:dyDescent="0.35">
      <c r="H675" s="1"/>
    </row>
    <row r="676" spans="8:8" ht="16.5" x14ac:dyDescent="0.35">
      <c r="H676" s="1"/>
    </row>
    <row r="677" spans="8:8" ht="16.5" x14ac:dyDescent="0.35">
      <c r="H677" s="1"/>
    </row>
    <row r="678" spans="8:8" ht="16.5" x14ac:dyDescent="0.35">
      <c r="H678" s="1"/>
    </row>
    <row r="679" spans="8:8" ht="16.5" x14ac:dyDescent="0.35">
      <c r="H679" s="1"/>
    </row>
    <row r="680" spans="8:8" ht="16.5" x14ac:dyDescent="0.35">
      <c r="H680" s="1"/>
    </row>
    <row r="681" spans="8:8" ht="16.5" x14ac:dyDescent="0.35">
      <c r="H681" s="1"/>
    </row>
    <row r="682" spans="8:8" ht="16.5" x14ac:dyDescent="0.35">
      <c r="H682" s="1"/>
    </row>
    <row r="683" spans="8:8" ht="16.5" x14ac:dyDescent="0.35">
      <c r="H683" s="1"/>
    </row>
    <row r="684" spans="8:8" ht="16.5" x14ac:dyDescent="0.35">
      <c r="H684" s="1"/>
    </row>
    <row r="685" spans="8:8" ht="16.5" x14ac:dyDescent="0.35">
      <c r="H685" s="1"/>
    </row>
    <row r="686" spans="8:8" ht="16.5" x14ac:dyDescent="0.35">
      <c r="H686" s="1"/>
    </row>
    <row r="687" spans="8:8" ht="16.5" x14ac:dyDescent="0.35">
      <c r="H687" s="1"/>
    </row>
    <row r="688" spans="8:8" ht="16.5" x14ac:dyDescent="0.35">
      <c r="H688" s="1"/>
    </row>
    <row r="689" spans="8:8" ht="16.5" x14ac:dyDescent="0.35">
      <c r="H689" s="1"/>
    </row>
    <row r="690" spans="8:8" ht="16.5" x14ac:dyDescent="0.35">
      <c r="H690" s="1"/>
    </row>
    <row r="691" spans="8:8" ht="16.5" x14ac:dyDescent="0.35">
      <c r="H691" s="1"/>
    </row>
    <row r="692" spans="8:8" ht="16.5" x14ac:dyDescent="0.35">
      <c r="H692" s="1"/>
    </row>
    <row r="693" spans="8:8" ht="16.5" x14ac:dyDescent="0.35">
      <c r="H693" s="1"/>
    </row>
    <row r="694" spans="8:8" ht="16.5" x14ac:dyDescent="0.35">
      <c r="H694" s="1"/>
    </row>
    <row r="695" spans="8:8" ht="16.5" x14ac:dyDescent="0.35">
      <c r="H695" s="1"/>
    </row>
    <row r="696" spans="8:8" ht="16.5" x14ac:dyDescent="0.35">
      <c r="H696" s="1"/>
    </row>
    <row r="697" spans="8:8" ht="16.5" x14ac:dyDescent="0.35">
      <c r="H697" s="1"/>
    </row>
    <row r="698" spans="8:8" ht="16.5" x14ac:dyDescent="0.35">
      <c r="H698" s="1"/>
    </row>
    <row r="699" spans="8:8" ht="16.5" x14ac:dyDescent="0.35">
      <c r="H699" s="1"/>
    </row>
    <row r="700" spans="8:8" ht="16.5" x14ac:dyDescent="0.35">
      <c r="H700" s="1"/>
    </row>
    <row r="701" spans="8:8" ht="16.5" x14ac:dyDescent="0.35">
      <c r="H701" s="1"/>
    </row>
    <row r="702" spans="8:8" ht="16.5" x14ac:dyDescent="0.35">
      <c r="H702" s="1"/>
    </row>
    <row r="703" spans="8:8" ht="16.5" x14ac:dyDescent="0.35">
      <c r="H703" s="1"/>
    </row>
    <row r="704" spans="8:8" ht="16.5" x14ac:dyDescent="0.35">
      <c r="H704" s="1"/>
    </row>
    <row r="705" spans="8:8" ht="16.5" x14ac:dyDescent="0.35">
      <c r="H705" s="1"/>
    </row>
    <row r="706" spans="8:8" ht="16.5" x14ac:dyDescent="0.35">
      <c r="H706" s="1"/>
    </row>
    <row r="707" spans="8:8" ht="16.5" x14ac:dyDescent="0.35">
      <c r="H707" s="1"/>
    </row>
    <row r="708" spans="8:8" ht="16.5" x14ac:dyDescent="0.35">
      <c r="H708" s="1"/>
    </row>
    <row r="709" spans="8:8" ht="16.5" x14ac:dyDescent="0.35">
      <c r="H709" s="1"/>
    </row>
    <row r="710" spans="8:8" ht="16.5" x14ac:dyDescent="0.35">
      <c r="H710" s="1"/>
    </row>
    <row r="711" spans="8:8" ht="16.5" x14ac:dyDescent="0.35">
      <c r="H711" s="1"/>
    </row>
    <row r="712" spans="8:8" ht="16.5" x14ac:dyDescent="0.35">
      <c r="H712" s="1"/>
    </row>
    <row r="713" spans="8:8" ht="16.5" x14ac:dyDescent="0.35">
      <c r="H713" s="1"/>
    </row>
    <row r="714" spans="8:8" ht="16.5" x14ac:dyDescent="0.35">
      <c r="H714" s="1"/>
    </row>
    <row r="715" spans="8:8" ht="16.5" x14ac:dyDescent="0.35">
      <c r="H715" s="1"/>
    </row>
    <row r="716" spans="8:8" ht="16.5" x14ac:dyDescent="0.35">
      <c r="H716" s="1"/>
    </row>
    <row r="717" spans="8:8" ht="16.5" x14ac:dyDescent="0.35">
      <c r="H717" s="1"/>
    </row>
    <row r="718" spans="8:8" ht="16.5" x14ac:dyDescent="0.35">
      <c r="H718" s="1"/>
    </row>
    <row r="719" spans="8:8" ht="16.5" x14ac:dyDescent="0.35">
      <c r="H719" s="1"/>
    </row>
    <row r="720" spans="8:8" ht="16.5" x14ac:dyDescent="0.35">
      <c r="H720" s="1"/>
    </row>
    <row r="721" spans="8:8" ht="16.5" x14ac:dyDescent="0.35">
      <c r="H721" s="1"/>
    </row>
    <row r="722" spans="8:8" ht="16.5" x14ac:dyDescent="0.35">
      <c r="H722" s="1"/>
    </row>
    <row r="723" spans="8:8" ht="16.5" x14ac:dyDescent="0.35">
      <c r="H723" s="1"/>
    </row>
    <row r="724" spans="8:8" ht="16.5" x14ac:dyDescent="0.35">
      <c r="H724" s="1"/>
    </row>
    <row r="725" spans="8:8" ht="16.5" x14ac:dyDescent="0.35">
      <c r="H725" s="1"/>
    </row>
    <row r="726" spans="8:8" ht="16.5" x14ac:dyDescent="0.35">
      <c r="H726" s="1"/>
    </row>
    <row r="727" spans="8:8" ht="16.5" x14ac:dyDescent="0.35">
      <c r="H727" s="1"/>
    </row>
    <row r="728" spans="8:8" ht="16.5" x14ac:dyDescent="0.35">
      <c r="H728" s="1"/>
    </row>
    <row r="729" spans="8:8" ht="16.5" x14ac:dyDescent="0.35">
      <c r="H729" s="1"/>
    </row>
    <row r="730" spans="8:8" ht="16.5" x14ac:dyDescent="0.35">
      <c r="H730" s="1"/>
    </row>
    <row r="731" spans="8:8" ht="16.5" x14ac:dyDescent="0.35">
      <c r="H731" s="1"/>
    </row>
    <row r="732" spans="8:8" ht="16.5" x14ac:dyDescent="0.35">
      <c r="H732" s="1"/>
    </row>
    <row r="733" spans="8:8" ht="16.5" x14ac:dyDescent="0.35">
      <c r="H733" s="1"/>
    </row>
    <row r="734" spans="8:8" ht="16.5" x14ac:dyDescent="0.35">
      <c r="H734" s="1"/>
    </row>
    <row r="735" spans="8:8" ht="16.5" x14ac:dyDescent="0.35">
      <c r="H735" s="1"/>
    </row>
    <row r="736" spans="8:8" ht="16.5" x14ac:dyDescent="0.35">
      <c r="H736" s="1"/>
    </row>
    <row r="737" spans="8:8" ht="16.5" x14ac:dyDescent="0.35">
      <c r="H737" s="1"/>
    </row>
    <row r="738" spans="8:8" ht="16.5" x14ac:dyDescent="0.35">
      <c r="H738" s="1"/>
    </row>
    <row r="739" spans="8:8" ht="16.5" x14ac:dyDescent="0.35">
      <c r="H739" s="1"/>
    </row>
    <row r="740" spans="8:8" ht="16.5" x14ac:dyDescent="0.35">
      <c r="H740" s="1"/>
    </row>
    <row r="741" spans="8:8" ht="16.5" x14ac:dyDescent="0.35">
      <c r="H741" s="1"/>
    </row>
    <row r="742" spans="8:8" ht="16.5" x14ac:dyDescent="0.35">
      <c r="H742" s="1"/>
    </row>
    <row r="743" spans="8:8" ht="16.5" x14ac:dyDescent="0.35">
      <c r="H743" s="1"/>
    </row>
    <row r="744" spans="8:8" ht="16.5" x14ac:dyDescent="0.35">
      <c r="H744" s="1"/>
    </row>
    <row r="745" spans="8:8" ht="16.5" x14ac:dyDescent="0.35">
      <c r="H745" s="1"/>
    </row>
    <row r="746" spans="8:8" ht="16.5" x14ac:dyDescent="0.35">
      <c r="H746" s="1"/>
    </row>
    <row r="747" spans="8:8" ht="16.5" x14ac:dyDescent="0.35">
      <c r="H747" s="1"/>
    </row>
    <row r="748" spans="8:8" ht="16.5" x14ac:dyDescent="0.35">
      <c r="H748" s="1"/>
    </row>
    <row r="749" spans="8:8" ht="16.5" x14ac:dyDescent="0.35">
      <c r="H749" s="1"/>
    </row>
    <row r="750" spans="8:8" ht="16.5" x14ac:dyDescent="0.35">
      <c r="H750" s="1"/>
    </row>
    <row r="751" spans="8:8" ht="16.5" x14ac:dyDescent="0.35">
      <c r="H751" s="1"/>
    </row>
    <row r="752" spans="8:8" ht="16.5" x14ac:dyDescent="0.35">
      <c r="H752" s="1"/>
    </row>
    <row r="753" spans="8:8" ht="16.5" x14ac:dyDescent="0.35">
      <c r="H753" s="1"/>
    </row>
    <row r="754" spans="8:8" ht="16.5" x14ac:dyDescent="0.35">
      <c r="H754" s="1"/>
    </row>
    <row r="755" spans="8:8" ht="16.5" x14ac:dyDescent="0.35">
      <c r="H755" s="1"/>
    </row>
    <row r="756" spans="8:8" ht="16.5" x14ac:dyDescent="0.35">
      <c r="H756" s="1"/>
    </row>
    <row r="757" spans="8:8" ht="16.5" x14ac:dyDescent="0.35">
      <c r="H757" s="1"/>
    </row>
    <row r="758" spans="8:8" ht="16.5" x14ac:dyDescent="0.35">
      <c r="H758" s="1"/>
    </row>
    <row r="759" spans="8:8" ht="16.5" x14ac:dyDescent="0.35">
      <c r="H759" s="1"/>
    </row>
    <row r="760" spans="8:8" ht="16.5" x14ac:dyDescent="0.35">
      <c r="H760" s="1"/>
    </row>
    <row r="761" spans="8:8" ht="16.5" x14ac:dyDescent="0.35">
      <c r="H761" s="1"/>
    </row>
    <row r="762" spans="8:8" ht="16.5" x14ac:dyDescent="0.35">
      <c r="H762" s="1"/>
    </row>
    <row r="763" spans="8:8" ht="16.5" x14ac:dyDescent="0.35">
      <c r="H763" s="1"/>
    </row>
    <row r="764" spans="8:8" ht="16.5" x14ac:dyDescent="0.35">
      <c r="H764" s="1"/>
    </row>
    <row r="765" spans="8:8" ht="16.5" x14ac:dyDescent="0.35">
      <c r="H765" s="1"/>
    </row>
    <row r="766" spans="8:8" ht="16.5" x14ac:dyDescent="0.35">
      <c r="H766" s="1"/>
    </row>
    <row r="767" spans="8:8" ht="16.5" x14ac:dyDescent="0.35">
      <c r="H767" s="1"/>
    </row>
    <row r="768" spans="8:8" ht="16.5" x14ac:dyDescent="0.35">
      <c r="H768" s="1"/>
    </row>
    <row r="769" spans="8:8" ht="16.5" x14ac:dyDescent="0.35">
      <c r="H769" s="1"/>
    </row>
    <row r="770" spans="8:8" ht="16.5" x14ac:dyDescent="0.35">
      <c r="H770" s="1"/>
    </row>
    <row r="771" spans="8:8" ht="16.5" x14ac:dyDescent="0.35">
      <c r="H771" s="1"/>
    </row>
    <row r="772" spans="8:8" ht="16.5" x14ac:dyDescent="0.35">
      <c r="H772" s="1"/>
    </row>
    <row r="773" spans="8:8" ht="16.5" x14ac:dyDescent="0.35">
      <c r="H773" s="1"/>
    </row>
    <row r="774" spans="8:8" ht="16.5" x14ac:dyDescent="0.35">
      <c r="H774" s="1"/>
    </row>
    <row r="775" spans="8:8" ht="16.5" x14ac:dyDescent="0.35">
      <c r="H775" s="1"/>
    </row>
    <row r="776" spans="8:8" ht="16.5" x14ac:dyDescent="0.35">
      <c r="H776" s="1"/>
    </row>
    <row r="777" spans="8:8" ht="16.5" x14ac:dyDescent="0.35">
      <c r="H777" s="1"/>
    </row>
    <row r="778" spans="8:8" ht="16.5" x14ac:dyDescent="0.35">
      <c r="H778" s="1"/>
    </row>
    <row r="779" spans="8:8" ht="16.5" x14ac:dyDescent="0.35">
      <c r="H779" s="1"/>
    </row>
    <row r="780" spans="8:8" ht="16.5" x14ac:dyDescent="0.35">
      <c r="H780" s="1"/>
    </row>
    <row r="781" spans="8:8" ht="16.5" x14ac:dyDescent="0.35">
      <c r="H781" s="1"/>
    </row>
    <row r="782" spans="8:8" ht="16.5" x14ac:dyDescent="0.35">
      <c r="H782" s="1"/>
    </row>
    <row r="783" spans="8:8" ht="16.5" x14ac:dyDescent="0.35">
      <c r="H783" s="1"/>
    </row>
    <row r="784" spans="8:8" ht="16.5" x14ac:dyDescent="0.35">
      <c r="H784" s="1"/>
    </row>
    <row r="785" spans="8:8" ht="16.5" x14ac:dyDescent="0.35">
      <c r="H785" s="1"/>
    </row>
    <row r="786" spans="8:8" ht="16.5" x14ac:dyDescent="0.35">
      <c r="H786" s="1"/>
    </row>
    <row r="787" spans="8:8" ht="16.5" x14ac:dyDescent="0.35">
      <c r="H787" s="1"/>
    </row>
    <row r="788" spans="8:8" ht="16.5" x14ac:dyDescent="0.35">
      <c r="H788" s="1"/>
    </row>
    <row r="789" spans="8:8" ht="16.5" x14ac:dyDescent="0.35">
      <c r="H789" s="1"/>
    </row>
    <row r="790" spans="8:8" ht="16.5" x14ac:dyDescent="0.35">
      <c r="H790" s="1"/>
    </row>
    <row r="791" spans="8:8" ht="16.5" x14ac:dyDescent="0.35">
      <c r="H791" s="1"/>
    </row>
    <row r="792" spans="8:8" ht="16.5" x14ac:dyDescent="0.35">
      <c r="H792" s="1"/>
    </row>
    <row r="793" spans="8:8" ht="16.5" x14ac:dyDescent="0.35">
      <c r="H793" s="1"/>
    </row>
    <row r="794" spans="8:8" ht="16.5" x14ac:dyDescent="0.35">
      <c r="H794" s="1"/>
    </row>
    <row r="795" spans="8:8" ht="16.5" x14ac:dyDescent="0.35">
      <c r="H795" s="1"/>
    </row>
    <row r="796" spans="8:8" ht="16.5" x14ac:dyDescent="0.35">
      <c r="H796" s="1"/>
    </row>
    <row r="797" spans="8:8" ht="16.5" x14ac:dyDescent="0.35">
      <c r="H797" s="1"/>
    </row>
    <row r="798" spans="8:8" ht="16.5" x14ac:dyDescent="0.35">
      <c r="H798" s="1"/>
    </row>
    <row r="799" spans="8:8" ht="16.5" x14ac:dyDescent="0.35">
      <c r="H799" s="1"/>
    </row>
    <row r="800" spans="8:8" ht="16.5" x14ac:dyDescent="0.35">
      <c r="H800" s="1"/>
    </row>
    <row r="801" spans="8:8" ht="16.5" x14ac:dyDescent="0.35">
      <c r="H801" s="1"/>
    </row>
    <row r="802" spans="8:8" ht="16.5" x14ac:dyDescent="0.35">
      <c r="H802" s="1"/>
    </row>
    <row r="803" spans="8:8" ht="16.5" x14ac:dyDescent="0.35">
      <c r="H803" s="1"/>
    </row>
    <row r="804" spans="8:8" ht="16.5" x14ac:dyDescent="0.35">
      <c r="H804" s="1"/>
    </row>
    <row r="805" spans="8:8" ht="16.5" x14ac:dyDescent="0.35">
      <c r="H805" s="1"/>
    </row>
    <row r="806" spans="8:8" ht="16.5" x14ac:dyDescent="0.35">
      <c r="H806" s="1"/>
    </row>
    <row r="807" spans="8:8" ht="16.5" x14ac:dyDescent="0.35">
      <c r="H807" s="1"/>
    </row>
    <row r="808" spans="8:8" ht="16.5" x14ac:dyDescent="0.35">
      <c r="H808" s="1"/>
    </row>
    <row r="809" spans="8:8" ht="16.5" x14ac:dyDescent="0.35">
      <c r="H809" s="1"/>
    </row>
    <row r="810" spans="8:8" ht="16.5" x14ac:dyDescent="0.35">
      <c r="H810" s="1"/>
    </row>
    <row r="811" spans="8:8" ht="16.5" x14ac:dyDescent="0.35">
      <c r="H811" s="1"/>
    </row>
    <row r="812" spans="8:8" ht="16.5" x14ac:dyDescent="0.35">
      <c r="H812" s="1"/>
    </row>
    <row r="813" spans="8:8" ht="16.5" x14ac:dyDescent="0.35">
      <c r="H813" s="1"/>
    </row>
    <row r="814" spans="8:8" ht="16.5" x14ac:dyDescent="0.35">
      <c r="H814" s="1"/>
    </row>
    <row r="815" spans="8:8" ht="16.5" x14ac:dyDescent="0.35">
      <c r="H815" s="1"/>
    </row>
    <row r="816" spans="8:8" ht="16.5" x14ac:dyDescent="0.35">
      <c r="H816" s="1"/>
    </row>
    <row r="817" spans="8:8" ht="16.5" x14ac:dyDescent="0.35">
      <c r="H817" s="1"/>
    </row>
    <row r="818" spans="8:8" ht="16.5" x14ac:dyDescent="0.35">
      <c r="H818" s="1"/>
    </row>
    <row r="819" spans="8:8" ht="16.5" x14ac:dyDescent="0.35">
      <c r="H819" s="1"/>
    </row>
    <row r="820" spans="8:8" ht="16.5" x14ac:dyDescent="0.35">
      <c r="H820" s="1"/>
    </row>
    <row r="821" spans="8:8" ht="16.5" x14ac:dyDescent="0.35">
      <c r="H821" s="1"/>
    </row>
    <row r="822" spans="8:8" ht="16.5" x14ac:dyDescent="0.35">
      <c r="H822" s="1"/>
    </row>
    <row r="823" spans="8:8" ht="16.5" x14ac:dyDescent="0.35">
      <c r="H823" s="1"/>
    </row>
    <row r="824" spans="8:8" ht="16.5" x14ac:dyDescent="0.35">
      <c r="H824" s="1"/>
    </row>
    <row r="825" spans="8:8" ht="16.5" x14ac:dyDescent="0.35">
      <c r="H825" s="1"/>
    </row>
    <row r="826" spans="8:8" ht="16.5" x14ac:dyDescent="0.35">
      <c r="H826" s="1"/>
    </row>
    <row r="827" spans="8:8" ht="16.5" x14ac:dyDescent="0.35">
      <c r="H827" s="1"/>
    </row>
    <row r="828" spans="8:8" ht="16.5" x14ac:dyDescent="0.35">
      <c r="H828" s="1"/>
    </row>
    <row r="829" spans="8:8" ht="16.5" x14ac:dyDescent="0.35">
      <c r="H829" s="1"/>
    </row>
    <row r="830" spans="8:8" ht="16.5" x14ac:dyDescent="0.35">
      <c r="H830" s="1"/>
    </row>
    <row r="831" spans="8:8" ht="16.5" x14ac:dyDescent="0.35">
      <c r="H831" s="1"/>
    </row>
    <row r="832" spans="8:8" ht="16.5" x14ac:dyDescent="0.35">
      <c r="H832" s="1"/>
    </row>
    <row r="833" spans="8:8" ht="16.5" x14ac:dyDescent="0.35">
      <c r="H833" s="1"/>
    </row>
    <row r="834" spans="8:8" ht="16.5" x14ac:dyDescent="0.35">
      <c r="H834" s="1"/>
    </row>
    <row r="835" spans="8:8" ht="16.5" x14ac:dyDescent="0.35">
      <c r="H835" s="1"/>
    </row>
    <row r="836" spans="8:8" ht="16.5" x14ac:dyDescent="0.35">
      <c r="H836" s="1"/>
    </row>
    <row r="837" spans="8:8" ht="16.5" x14ac:dyDescent="0.35">
      <c r="H837" s="1"/>
    </row>
    <row r="838" spans="8:8" ht="16.5" x14ac:dyDescent="0.35">
      <c r="H838" s="1"/>
    </row>
    <row r="839" spans="8:8" ht="16.5" x14ac:dyDescent="0.35">
      <c r="H839" s="1"/>
    </row>
    <row r="840" spans="8:8" ht="16.5" x14ac:dyDescent="0.35">
      <c r="H840" s="1"/>
    </row>
    <row r="841" spans="8:8" ht="16.5" x14ac:dyDescent="0.35">
      <c r="H841" s="1"/>
    </row>
    <row r="842" spans="8:8" ht="16.5" x14ac:dyDescent="0.35">
      <c r="H842" s="1"/>
    </row>
    <row r="843" spans="8:8" ht="16.5" x14ac:dyDescent="0.35">
      <c r="H843" s="1"/>
    </row>
    <row r="844" spans="8:8" ht="16.5" x14ac:dyDescent="0.35">
      <c r="H844" s="1"/>
    </row>
    <row r="845" spans="8:8" ht="16.5" x14ac:dyDescent="0.35">
      <c r="H845" s="1"/>
    </row>
    <row r="846" spans="8:8" ht="16.5" x14ac:dyDescent="0.35">
      <c r="H846" s="1"/>
    </row>
    <row r="847" spans="8:8" ht="16.5" x14ac:dyDescent="0.35">
      <c r="H847" s="1"/>
    </row>
    <row r="848" spans="8:8" ht="16.5" x14ac:dyDescent="0.35">
      <c r="H848" s="1"/>
    </row>
    <row r="849" spans="8:8" ht="16.5" x14ac:dyDescent="0.35">
      <c r="H849" s="1"/>
    </row>
    <row r="850" spans="8:8" ht="16.5" x14ac:dyDescent="0.35">
      <c r="H850" s="1"/>
    </row>
    <row r="851" spans="8:8" ht="16.5" x14ac:dyDescent="0.35">
      <c r="H851" s="1"/>
    </row>
    <row r="852" spans="8:8" ht="16.5" x14ac:dyDescent="0.35">
      <c r="H852" s="1"/>
    </row>
    <row r="853" spans="8:8" ht="16.5" x14ac:dyDescent="0.35">
      <c r="H853" s="1"/>
    </row>
    <row r="854" spans="8:8" ht="16.5" x14ac:dyDescent="0.35">
      <c r="H854" s="1"/>
    </row>
    <row r="855" spans="8:8" ht="16.5" x14ac:dyDescent="0.35">
      <c r="H855" s="1"/>
    </row>
    <row r="856" spans="8:8" ht="16.5" x14ac:dyDescent="0.35">
      <c r="H856" s="1"/>
    </row>
    <row r="857" spans="8:8" ht="16.5" x14ac:dyDescent="0.35">
      <c r="H857" s="1"/>
    </row>
    <row r="858" spans="8:8" ht="16.5" x14ac:dyDescent="0.35">
      <c r="H858" s="1"/>
    </row>
    <row r="859" spans="8:8" ht="16.5" x14ac:dyDescent="0.35">
      <c r="H859" s="1"/>
    </row>
    <row r="860" spans="8:8" ht="16.5" x14ac:dyDescent="0.35">
      <c r="H860" s="1"/>
    </row>
    <row r="861" spans="8:8" ht="16.5" x14ac:dyDescent="0.35">
      <c r="H861" s="1"/>
    </row>
    <row r="862" spans="8:8" ht="16.5" x14ac:dyDescent="0.35">
      <c r="H862" s="1"/>
    </row>
    <row r="863" spans="8:8" ht="16.5" x14ac:dyDescent="0.35">
      <c r="H863" s="1"/>
    </row>
    <row r="864" spans="8:8" ht="16.5" x14ac:dyDescent="0.35">
      <c r="H864" s="1"/>
    </row>
    <row r="865" spans="8:8" ht="16.5" x14ac:dyDescent="0.35">
      <c r="H865" s="1"/>
    </row>
    <row r="866" spans="8:8" ht="16.5" x14ac:dyDescent="0.35">
      <c r="H866" s="1"/>
    </row>
    <row r="867" spans="8:8" ht="16.5" x14ac:dyDescent="0.35">
      <c r="H867" s="1"/>
    </row>
    <row r="868" spans="8:8" ht="16.5" x14ac:dyDescent="0.35">
      <c r="H868" s="1"/>
    </row>
    <row r="869" spans="8:8" ht="16.5" x14ac:dyDescent="0.35">
      <c r="H869" s="1"/>
    </row>
    <row r="870" spans="8:8" ht="16.5" x14ac:dyDescent="0.35">
      <c r="H870" s="1"/>
    </row>
    <row r="871" spans="8:8" ht="16.5" x14ac:dyDescent="0.35">
      <c r="H871" s="1"/>
    </row>
    <row r="872" spans="8:8" ht="16.5" x14ac:dyDescent="0.35">
      <c r="H872" s="1"/>
    </row>
    <row r="873" spans="8:8" ht="16.5" x14ac:dyDescent="0.35">
      <c r="H873" s="1"/>
    </row>
    <row r="874" spans="8:8" ht="16.5" x14ac:dyDescent="0.35">
      <c r="H874" s="1"/>
    </row>
    <row r="875" spans="8:8" ht="16.5" x14ac:dyDescent="0.35">
      <c r="H875" s="1"/>
    </row>
    <row r="876" spans="8:8" ht="16.5" x14ac:dyDescent="0.35">
      <c r="H876" s="1"/>
    </row>
    <row r="877" spans="8:8" ht="16.5" x14ac:dyDescent="0.35">
      <c r="H877" s="1"/>
    </row>
    <row r="878" spans="8:8" ht="16.5" x14ac:dyDescent="0.35">
      <c r="H878" s="1"/>
    </row>
    <row r="879" spans="8:8" ht="16.5" x14ac:dyDescent="0.35">
      <c r="H879" s="1"/>
    </row>
    <row r="880" spans="8:8" ht="16.5" x14ac:dyDescent="0.35">
      <c r="H880" s="1"/>
    </row>
    <row r="881" spans="8:8" ht="16.5" x14ac:dyDescent="0.35">
      <c r="H881" s="1"/>
    </row>
    <row r="882" spans="8:8" ht="16.5" x14ac:dyDescent="0.35">
      <c r="H882" s="1"/>
    </row>
    <row r="883" spans="8:8" ht="16.5" x14ac:dyDescent="0.35">
      <c r="H883" s="1"/>
    </row>
    <row r="884" spans="8:8" ht="16.5" x14ac:dyDescent="0.35">
      <c r="H884" s="1"/>
    </row>
    <row r="885" spans="8:8" ht="16.5" x14ac:dyDescent="0.35">
      <c r="H885" s="1"/>
    </row>
    <row r="886" spans="8:8" ht="16.5" x14ac:dyDescent="0.35">
      <c r="H886" s="1"/>
    </row>
    <row r="887" spans="8:8" ht="16.5" x14ac:dyDescent="0.35">
      <c r="H887" s="1"/>
    </row>
    <row r="888" spans="8:8" ht="16.5" x14ac:dyDescent="0.35">
      <c r="H888" s="1"/>
    </row>
    <row r="889" spans="8:8" ht="16.5" x14ac:dyDescent="0.35">
      <c r="H889" s="1"/>
    </row>
    <row r="890" spans="8:8" ht="16.5" x14ac:dyDescent="0.35">
      <c r="H890" s="1"/>
    </row>
    <row r="891" spans="8:8" ht="16.5" x14ac:dyDescent="0.35">
      <c r="H891" s="1"/>
    </row>
    <row r="892" spans="8:8" ht="16.5" x14ac:dyDescent="0.35">
      <c r="H892" s="1"/>
    </row>
    <row r="893" spans="8:8" ht="16.5" x14ac:dyDescent="0.35">
      <c r="H893" s="1"/>
    </row>
    <row r="894" spans="8:8" ht="16.5" x14ac:dyDescent="0.35">
      <c r="H894" s="1"/>
    </row>
    <row r="895" spans="8:8" ht="16.5" x14ac:dyDescent="0.35">
      <c r="H895" s="1"/>
    </row>
    <row r="896" spans="8:8" ht="16.5" x14ac:dyDescent="0.35">
      <c r="H896" s="1"/>
    </row>
    <row r="897" spans="8:8" ht="16.5" x14ac:dyDescent="0.35">
      <c r="H897" s="1"/>
    </row>
    <row r="898" spans="8:8" ht="16.5" x14ac:dyDescent="0.35">
      <c r="H898" s="1"/>
    </row>
    <row r="899" spans="8:8" ht="16.5" x14ac:dyDescent="0.35">
      <c r="H899" s="1"/>
    </row>
    <row r="900" spans="8:8" ht="16.5" x14ac:dyDescent="0.35">
      <c r="H900" s="1"/>
    </row>
    <row r="901" spans="8:8" ht="16.5" x14ac:dyDescent="0.35">
      <c r="H901" s="1"/>
    </row>
    <row r="902" spans="8:8" ht="16.5" x14ac:dyDescent="0.35">
      <c r="H902" s="1"/>
    </row>
    <row r="903" spans="8:8" ht="16.5" x14ac:dyDescent="0.35">
      <c r="H903" s="1"/>
    </row>
    <row r="904" spans="8:8" ht="16.5" x14ac:dyDescent="0.35">
      <c r="H904" s="1"/>
    </row>
    <row r="905" spans="8:8" ht="16.5" x14ac:dyDescent="0.35">
      <c r="H905" s="1"/>
    </row>
    <row r="906" spans="8:8" ht="16.5" x14ac:dyDescent="0.35">
      <c r="H906" s="1"/>
    </row>
    <row r="907" spans="8:8" ht="16.5" x14ac:dyDescent="0.35">
      <c r="H907" s="1"/>
    </row>
    <row r="908" spans="8:8" ht="16.5" x14ac:dyDescent="0.35">
      <c r="H908" s="1"/>
    </row>
    <row r="909" spans="8:8" ht="16.5" x14ac:dyDescent="0.35">
      <c r="H909" s="1"/>
    </row>
    <row r="910" spans="8:8" ht="16.5" x14ac:dyDescent="0.35">
      <c r="H910" s="1"/>
    </row>
    <row r="911" spans="8:8" ht="16.5" x14ac:dyDescent="0.35">
      <c r="H911" s="1"/>
    </row>
    <row r="912" spans="8:8" ht="16.5" x14ac:dyDescent="0.35">
      <c r="H912" s="1"/>
    </row>
    <row r="913" spans="8:8" ht="16.5" x14ac:dyDescent="0.35">
      <c r="H913" s="1"/>
    </row>
    <row r="914" spans="8:8" ht="16.5" x14ac:dyDescent="0.35">
      <c r="H914" s="1"/>
    </row>
    <row r="915" spans="8:8" ht="16.5" x14ac:dyDescent="0.35">
      <c r="H915" s="1"/>
    </row>
    <row r="916" spans="8:8" ht="16.5" x14ac:dyDescent="0.35">
      <c r="H916" s="1"/>
    </row>
    <row r="917" spans="8:8" ht="16.5" x14ac:dyDescent="0.35">
      <c r="H917" s="1"/>
    </row>
    <row r="918" spans="8:8" ht="16.5" x14ac:dyDescent="0.35">
      <c r="H918" s="1"/>
    </row>
    <row r="919" spans="8:8" ht="16.5" x14ac:dyDescent="0.35">
      <c r="H919" s="1"/>
    </row>
    <row r="920" spans="8:8" ht="16.5" x14ac:dyDescent="0.35">
      <c r="H920" s="1"/>
    </row>
    <row r="921" spans="8:8" ht="16.5" x14ac:dyDescent="0.35">
      <c r="H921" s="1"/>
    </row>
    <row r="922" spans="8:8" ht="16.5" x14ac:dyDescent="0.35">
      <c r="H922" s="1"/>
    </row>
    <row r="923" spans="8:8" ht="16.5" x14ac:dyDescent="0.35">
      <c r="H923" s="1"/>
    </row>
    <row r="924" spans="8:8" ht="16.5" x14ac:dyDescent="0.35">
      <c r="H924" s="1"/>
    </row>
    <row r="925" spans="8:8" ht="16.5" x14ac:dyDescent="0.35">
      <c r="H925" s="1"/>
    </row>
    <row r="926" spans="8:8" ht="16.5" x14ac:dyDescent="0.35">
      <c r="H926" s="1"/>
    </row>
    <row r="927" spans="8:8" ht="16.5" x14ac:dyDescent="0.35">
      <c r="H927" s="1"/>
    </row>
    <row r="928" spans="8:8" ht="16.5" x14ac:dyDescent="0.35">
      <c r="H928" s="1"/>
    </row>
    <row r="929" spans="8:8" ht="16.5" x14ac:dyDescent="0.35">
      <c r="H929" s="1"/>
    </row>
    <row r="930" spans="8:8" ht="16.5" x14ac:dyDescent="0.35">
      <c r="H930" s="1"/>
    </row>
    <row r="931" spans="8:8" ht="16.5" x14ac:dyDescent="0.35">
      <c r="H931" s="1"/>
    </row>
    <row r="932" spans="8:8" ht="16.5" x14ac:dyDescent="0.35">
      <c r="H932" s="1"/>
    </row>
    <row r="933" spans="8:8" ht="16.5" x14ac:dyDescent="0.35">
      <c r="H933" s="1"/>
    </row>
    <row r="934" spans="8:8" ht="16.5" x14ac:dyDescent="0.35">
      <c r="H934" s="1"/>
    </row>
    <row r="935" spans="8:8" ht="16.5" x14ac:dyDescent="0.35">
      <c r="H935" s="1"/>
    </row>
    <row r="936" spans="8:8" ht="16.5" x14ac:dyDescent="0.35">
      <c r="H936" s="1"/>
    </row>
    <row r="937" spans="8:8" ht="16.5" x14ac:dyDescent="0.35">
      <c r="H937" s="1"/>
    </row>
    <row r="938" spans="8:8" ht="16.5" x14ac:dyDescent="0.35">
      <c r="H938" s="1"/>
    </row>
    <row r="939" spans="8:8" ht="16.5" x14ac:dyDescent="0.35">
      <c r="H939" s="1"/>
    </row>
    <row r="940" spans="8:8" ht="16.5" x14ac:dyDescent="0.35">
      <c r="H940" s="1"/>
    </row>
    <row r="941" spans="8:8" ht="16.5" x14ac:dyDescent="0.35">
      <c r="H941" s="1"/>
    </row>
    <row r="942" spans="8:8" ht="16.5" x14ac:dyDescent="0.35">
      <c r="H942" s="1"/>
    </row>
    <row r="943" spans="8:8" ht="16.5" x14ac:dyDescent="0.35">
      <c r="H943" s="1"/>
    </row>
    <row r="944" spans="8:8" ht="16.5" x14ac:dyDescent="0.35">
      <c r="H944" s="1"/>
    </row>
    <row r="945" spans="8:8" ht="16.5" x14ac:dyDescent="0.35">
      <c r="H945" s="1"/>
    </row>
    <row r="946" spans="8:8" ht="16.5" x14ac:dyDescent="0.35">
      <c r="H946" s="1"/>
    </row>
    <row r="947" spans="8:8" ht="16.5" x14ac:dyDescent="0.35">
      <c r="H947" s="1"/>
    </row>
    <row r="948" spans="8:8" ht="16.5" x14ac:dyDescent="0.35">
      <c r="H948" s="1"/>
    </row>
    <row r="949" spans="8:8" ht="16.5" x14ac:dyDescent="0.35">
      <c r="H949" s="1"/>
    </row>
    <row r="950" spans="8:8" ht="16.5" x14ac:dyDescent="0.35">
      <c r="H950" s="1"/>
    </row>
    <row r="951" spans="8:8" ht="16.5" x14ac:dyDescent="0.35">
      <c r="H951" s="1"/>
    </row>
    <row r="952" spans="8:8" ht="16.5" x14ac:dyDescent="0.35">
      <c r="H952" s="1"/>
    </row>
    <row r="953" spans="8:8" ht="16.5" x14ac:dyDescent="0.35">
      <c r="H953" s="1"/>
    </row>
    <row r="954" spans="8:8" ht="16.5" x14ac:dyDescent="0.35">
      <c r="H954" s="1"/>
    </row>
    <row r="955" spans="8:8" ht="16.5" x14ac:dyDescent="0.35">
      <c r="H955" s="1"/>
    </row>
    <row r="956" spans="8:8" ht="16.5" x14ac:dyDescent="0.35">
      <c r="H956" s="1"/>
    </row>
    <row r="957" spans="8:8" ht="16.5" x14ac:dyDescent="0.35">
      <c r="H957" s="1"/>
    </row>
    <row r="958" spans="8:8" ht="16.5" x14ac:dyDescent="0.35">
      <c r="H958" s="1"/>
    </row>
    <row r="959" spans="8:8" ht="16.5" x14ac:dyDescent="0.35">
      <c r="H959" s="1"/>
    </row>
    <row r="960" spans="8:8" ht="16.5" x14ac:dyDescent="0.35">
      <c r="H960" s="1"/>
    </row>
    <row r="961" spans="8:8" ht="16.5" x14ac:dyDescent="0.35">
      <c r="H961" s="1"/>
    </row>
    <row r="962" spans="8:8" ht="16.5" x14ac:dyDescent="0.35">
      <c r="H962" s="1"/>
    </row>
    <row r="963" spans="8:8" ht="16.5" x14ac:dyDescent="0.35">
      <c r="H963" s="1"/>
    </row>
    <row r="964" spans="8:8" ht="16.5" x14ac:dyDescent="0.35">
      <c r="H964" s="1"/>
    </row>
    <row r="965" spans="8:8" ht="16.5" x14ac:dyDescent="0.35">
      <c r="H965" s="1"/>
    </row>
    <row r="966" spans="8:8" ht="16.5" x14ac:dyDescent="0.35">
      <c r="H966" s="1"/>
    </row>
    <row r="967" spans="8:8" ht="16.5" x14ac:dyDescent="0.35">
      <c r="H967" s="1"/>
    </row>
    <row r="968" spans="8:8" ht="16.5" x14ac:dyDescent="0.35">
      <c r="H968" s="1"/>
    </row>
    <row r="969" spans="8:8" ht="16.5" x14ac:dyDescent="0.35">
      <c r="H969" s="1"/>
    </row>
    <row r="970" spans="8:8" ht="16.5" x14ac:dyDescent="0.35">
      <c r="H970" s="1"/>
    </row>
    <row r="971" spans="8:8" ht="16.5" x14ac:dyDescent="0.35">
      <c r="H971" s="1"/>
    </row>
    <row r="972" spans="8:8" ht="16.5" x14ac:dyDescent="0.35">
      <c r="H972" s="1"/>
    </row>
    <row r="973" spans="8:8" ht="16.5" x14ac:dyDescent="0.35">
      <c r="H973" s="1"/>
    </row>
    <row r="974" spans="8:8" ht="16.5" x14ac:dyDescent="0.35">
      <c r="H974" s="1"/>
    </row>
    <row r="975" spans="8:8" ht="16.5" x14ac:dyDescent="0.35">
      <c r="H975" s="1"/>
    </row>
    <row r="976" spans="8:8" ht="16.5" x14ac:dyDescent="0.35">
      <c r="H976" s="1"/>
    </row>
    <row r="977" spans="8:8" ht="16.5" x14ac:dyDescent="0.35">
      <c r="H977" s="1"/>
    </row>
    <row r="978" spans="8:8" ht="16.5" x14ac:dyDescent="0.35">
      <c r="H978" s="1"/>
    </row>
    <row r="979" spans="8:8" ht="16.5" x14ac:dyDescent="0.35">
      <c r="H979" s="1"/>
    </row>
    <row r="980" spans="8:8" ht="16.5" x14ac:dyDescent="0.35">
      <c r="H980" s="1"/>
    </row>
    <row r="981" spans="8:8" ht="16.5" x14ac:dyDescent="0.35">
      <c r="H981" s="1"/>
    </row>
    <row r="982" spans="8:8" ht="16.5" x14ac:dyDescent="0.35">
      <c r="H982" s="1"/>
    </row>
    <row r="983" spans="8:8" ht="16.5" x14ac:dyDescent="0.35">
      <c r="H983" s="1"/>
    </row>
    <row r="984" spans="8:8" ht="16.5" x14ac:dyDescent="0.35">
      <c r="H984" s="1"/>
    </row>
    <row r="985" spans="8:8" ht="16.5" x14ac:dyDescent="0.35">
      <c r="H985" s="1"/>
    </row>
    <row r="986" spans="8:8" ht="16.5" x14ac:dyDescent="0.35">
      <c r="H986" s="1"/>
    </row>
    <row r="987" spans="8:8" ht="16.5" x14ac:dyDescent="0.35">
      <c r="H987" s="1"/>
    </row>
    <row r="988" spans="8:8" ht="16.5" x14ac:dyDescent="0.35">
      <c r="H988" s="1"/>
    </row>
    <row r="989" spans="8:8" ht="16.5" x14ac:dyDescent="0.35">
      <c r="H989" s="1"/>
    </row>
    <row r="990" spans="8:8" ht="16.5" x14ac:dyDescent="0.35">
      <c r="H990" s="1"/>
    </row>
    <row r="991" spans="8:8" ht="16.5" x14ac:dyDescent="0.35">
      <c r="H991" s="1"/>
    </row>
    <row r="992" spans="8:8" ht="16.5" x14ac:dyDescent="0.35">
      <c r="H992" s="1"/>
    </row>
    <row r="993" spans="8:8" ht="16.5" x14ac:dyDescent="0.35">
      <c r="H993" s="1"/>
    </row>
    <row r="994" spans="8:8" ht="16.5" x14ac:dyDescent="0.35">
      <c r="H994" s="1"/>
    </row>
    <row r="995" spans="8:8" ht="16.5" x14ac:dyDescent="0.35">
      <c r="H995" s="1"/>
    </row>
    <row r="996" spans="8:8" ht="16.5" x14ac:dyDescent="0.35">
      <c r="H996" s="1"/>
    </row>
    <row r="997" spans="8:8" ht="16.5" x14ac:dyDescent="0.35">
      <c r="H997" s="1"/>
    </row>
    <row r="998" spans="8:8" ht="16.5" x14ac:dyDescent="0.35">
      <c r="H998" s="1"/>
    </row>
    <row r="999" spans="8:8" ht="16.5" x14ac:dyDescent="0.35">
      <c r="H999" s="1"/>
    </row>
    <row r="1000" spans="8:8" ht="16.5" x14ac:dyDescent="0.35">
      <c r="H1000" s="1"/>
    </row>
    <row r="1001" spans="8:8" ht="16.5" x14ac:dyDescent="0.35">
      <c r="H1001" s="1"/>
    </row>
    <row r="1002" spans="8:8" ht="16.5" x14ac:dyDescent="0.35">
      <c r="H1002" s="1"/>
    </row>
    <row r="1003" spans="8:8" ht="16.5" x14ac:dyDescent="0.35">
      <c r="H1003" s="1"/>
    </row>
    <row r="1004" spans="8:8" ht="16.5" x14ac:dyDescent="0.35">
      <c r="H1004" s="1"/>
    </row>
    <row r="1005" spans="8:8" ht="16.5" x14ac:dyDescent="0.35">
      <c r="H1005" s="1"/>
    </row>
    <row r="1006" spans="8:8" ht="16.5" x14ac:dyDescent="0.35">
      <c r="H1006" s="1"/>
    </row>
    <row r="1007" spans="8:8" ht="16.5" x14ac:dyDescent="0.35">
      <c r="H1007" s="1"/>
    </row>
    <row r="1008" spans="8:8" ht="16.5" x14ac:dyDescent="0.35">
      <c r="H1008" s="1"/>
    </row>
    <row r="1009" spans="8:8" ht="16.5" x14ac:dyDescent="0.35">
      <c r="H1009" s="1"/>
    </row>
    <row r="1010" spans="8:8" ht="16.5" x14ac:dyDescent="0.35">
      <c r="H1010" s="1"/>
    </row>
    <row r="1011" spans="8:8" ht="16.5" x14ac:dyDescent="0.35">
      <c r="H1011" s="1"/>
    </row>
    <row r="1012" spans="8:8" ht="16.5" x14ac:dyDescent="0.35">
      <c r="H1012" s="1"/>
    </row>
    <row r="1013" spans="8:8" ht="16.5" x14ac:dyDescent="0.35">
      <c r="H1013" s="1"/>
    </row>
    <row r="1014" spans="8:8" ht="16.5" x14ac:dyDescent="0.35">
      <c r="H1014" s="1"/>
    </row>
    <row r="1015" spans="8:8" ht="16.5" x14ac:dyDescent="0.35">
      <c r="H1015" s="1"/>
    </row>
    <row r="1016" spans="8:8" ht="16.5" x14ac:dyDescent="0.35">
      <c r="H1016" s="1"/>
    </row>
    <row r="1017" spans="8:8" ht="16.5" x14ac:dyDescent="0.35">
      <c r="H1017" s="1"/>
    </row>
    <row r="1018" spans="8:8" ht="16.5" x14ac:dyDescent="0.35">
      <c r="H1018" s="1"/>
    </row>
    <row r="1019" spans="8:8" ht="16.5" x14ac:dyDescent="0.35">
      <c r="H1019" s="1"/>
    </row>
    <row r="1020" spans="8:8" ht="16.5" x14ac:dyDescent="0.35">
      <c r="H1020" s="1"/>
    </row>
    <row r="1021" spans="8:8" ht="16.5" x14ac:dyDescent="0.35">
      <c r="H1021" s="1"/>
    </row>
    <row r="1022" spans="8:8" ht="16.5" x14ac:dyDescent="0.35">
      <c r="H1022" s="1"/>
    </row>
    <row r="1023" spans="8:8" ht="16.5" x14ac:dyDescent="0.35">
      <c r="H1023" s="1"/>
    </row>
    <row r="1024" spans="8:8" ht="16.5" x14ac:dyDescent="0.35">
      <c r="H1024" s="1"/>
    </row>
    <row r="1025" spans="8:8" ht="16.5" x14ac:dyDescent="0.35">
      <c r="H1025" s="1"/>
    </row>
    <row r="1026" spans="8:8" ht="16.5" x14ac:dyDescent="0.35">
      <c r="H1026" s="1"/>
    </row>
    <row r="1027" spans="8:8" ht="16.5" x14ac:dyDescent="0.35">
      <c r="H1027" s="1"/>
    </row>
    <row r="1028" spans="8:8" ht="16.5" x14ac:dyDescent="0.35">
      <c r="H1028" s="1"/>
    </row>
    <row r="1029" spans="8:8" ht="16.5" x14ac:dyDescent="0.35">
      <c r="H1029" s="1"/>
    </row>
    <row r="1030" spans="8:8" ht="16.5" x14ac:dyDescent="0.35">
      <c r="H1030" s="1"/>
    </row>
    <row r="1031" spans="8:8" ht="16.5" x14ac:dyDescent="0.35">
      <c r="H1031" s="1"/>
    </row>
    <row r="1032" spans="8:8" ht="16.5" x14ac:dyDescent="0.35">
      <c r="H1032" s="1"/>
    </row>
    <row r="1033" spans="8:8" ht="16.5" x14ac:dyDescent="0.35">
      <c r="H1033" s="1"/>
    </row>
    <row r="1034" spans="8:8" ht="16.5" x14ac:dyDescent="0.35">
      <c r="H1034" s="1"/>
    </row>
    <row r="1035" spans="8:8" ht="16.5" x14ac:dyDescent="0.35">
      <c r="H1035" s="1"/>
    </row>
    <row r="1036" spans="8:8" ht="16.5" x14ac:dyDescent="0.35">
      <c r="H1036" s="1"/>
    </row>
    <row r="1037" spans="8:8" ht="16.5" x14ac:dyDescent="0.35">
      <c r="H1037" s="1"/>
    </row>
    <row r="1038" spans="8:8" ht="16.5" x14ac:dyDescent="0.35">
      <c r="H1038" s="1"/>
    </row>
    <row r="1039" spans="8:8" ht="16.5" x14ac:dyDescent="0.35">
      <c r="H1039" s="1"/>
    </row>
    <row r="1040" spans="8:8" ht="16.5" x14ac:dyDescent="0.35">
      <c r="H1040" s="1"/>
    </row>
    <row r="1041" spans="8:8" ht="16.5" x14ac:dyDescent="0.35">
      <c r="H1041" s="1"/>
    </row>
    <row r="1042" spans="8:8" ht="16.5" x14ac:dyDescent="0.35">
      <c r="H1042" s="1"/>
    </row>
    <row r="1043" spans="8:8" ht="16.5" x14ac:dyDescent="0.35">
      <c r="H1043" s="1"/>
    </row>
    <row r="1044" spans="8:8" ht="16.5" x14ac:dyDescent="0.35">
      <c r="H1044" s="1"/>
    </row>
    <row r="1045" spans="8:8" ht="16.5" x14ac:dyDescent="0.35">
      <c r="H1045" s="1"/>
    </row>
    <row r="1046" spans="8:8" ht="16.5" x14ac:dyDescent="0.35">
      <c r="H1046" s="1"/>
    </row>
    <row r="1047" spans="8:8" ht="16.5" x14ac:dyDescent="0.35">
      <c r="H1047" s="1"/>
    </row>
    <row r="1048" spans="8:8" ht="16.5" x14ac:dyDescent="0.35">
      <c r="H1048" s="1"/>
    </row>
    <row r="1049" spans="8:8" ht="16.5" x14ac:dyDescent="0.35">
      <c r="H1049" s="1"/>
    </row>
    <row r="1050" spans="8:8" ht="16.5" x14ac:dyDescent="0.35">
      <c r="H1050" s="1"/>
    </row>
    <row r="1051" spans="8:8" ht="16.5" x14ac:dyDescent="0.35">
      <c r="H1051" s="1"/>
    </row>
    <row r="1052" spans="8:8" ht="16.5" x14ac:dyDescent="0.35">
      <c r="H1052" s="1"/>
    </row>
    <row r="1053" spans="8:8" ht="16.5" x14ac:dyDescent="0.35">
      <c r="H1053" s="1"/>
    </row>
    <row r="1054" spans="8:8" ht="16.5" x14ac:dyDescent="0.35">
      <c r="H1054" s="1"/>
    </row>
    <row r="1055" spans="8:8" ht="16.5" x14ac:dyDescent="0.35">
      <c r="H1055" s="1"/>
    </row>
    <row r="1056" spans="8:8" ht="16.5" x14ac:dyDescent="0.35">
      <c r="H1056" s="1"/>
    </row>
    <row r="1057" spans="8:8" ht="16.5" x14ac:dyDescent="0.35">
      <c r="H1057" s="1"/>
    </row>
    <row r="1058" spans="8:8" ht="16.5" x14ac:dyDescent="0.35">
      <c r="H1058" s="1"/>
    </row>
    <row r="1059" spans="8:8" ht="16.5" x14ac:dyDescent="0.35">
      <c r="H1059" s="1"/>
    </row>
    <row r="1060" spans="8:8" ht="16.5" x14ac:dyDescent="0.35">
      <c r="H1060" s="1"/>
    </row>
    <row r="1061" spans="8:8" ht="16.5" x14ac:dyDescent="0.35">
      <c r="H1061" s="1"/>
    </row>
    <row r="1062" spans="8:8" ht="16.5" x14ac:dyDescent="0.35">
      <c r="H1062" s="1"/>
    </row>
    <row r="1063" spans="8:8" ht="16.5" x14ac:dyDescent="0.35">
      <c r="H1063" s="1"/>
    </row>
    <row r="1064" spans="8:8" ht="16.5" x14ac:dyDescent="0.35">
      <c r="H1064" s="1"/>
    </row>
    <row r="1065" spans="8:8" ht="16.5" x14ac:dyDescent="0.35">
      <c r="H1065" s="1"/>
    </row>
    <row r="1066" spans="8:8" ht="16.5" x14ac:dyDescent="0.35">
      <c r="H1066" s="1"/>
    </row>
    <row r="1067" spans="8:8" ht="16.5" x14ac:dyDescent="0.35">
      <c r="H1067" s="1"/>
    </row>
    <row r="1068" spans="8:8" ht="16.5" x14ac:dyDescent="0.35">
      <c r="H1068" s="1"/>
    </row>
    <row r="1069" spans="8:8" ht="16.5" x14ac:dyDescent="0.35">
      <c r="H1069" s="1"/>
    </row>
    <row r="1070" spans="8:8" ht="16.5" x14ac:dyDescent="0.35">
      <c r="H1070" s="1"/>
    </row>
    <row r="1071" spans="8:8" ht="16.5" x14ac:dyDescent="0.35">
      <c r="H1071" s="1"/>
    </row>
    <row r="1072" spans="8:8" ht="16.5" x14ac:dyDescent="0.35">
      <c r="H1072" s="1"/>
    </row>
    <row r="1073" spans="8:8" ht="16.5" x14ac:dyDescent="0.35">
      <c r="H1073" s="1"/>
    </row>
    <row r="1074" spans="8:8" ht="16.5" x14ac:dyDescent="0.35">
      <c r="H1074" s="1"/>
    </row>
    <row r="1075" spans="8:8" ht="16.5" x14ac:dyDescent="0.35">
      <c r="H1075" s="1"/>
    </row>
    <row r="1076" spans="8:8" ht="16.5" x14ac:dyDescent="0.35">
      <c r="H1076" s="1"/>
    </row>
    <row r="1077" spans="8:8" ht="16.5" x14ac:dyDescent="0.35">
      <c r="H1077" s="1"/>
    </row>
    <row r="1078" spans="8:8" ht="16.5" x14ac:dyDescent="0.35">
      <c r="H1078" s="1"/>
    </row>
    <row r="1079" spans="8:8" ht="16.5" x14ac:dyDescent="0.35">
      <c r="H1079" s="1"/>
    </row>
    <row r="1080" spans="8:8" ht="16.5" x14ac:dyDescent="0.35">
      <c r="H1080" s="1"/>
    </row>
    <row r="1081" spans="8:8" ht="16.5" x14ac:dyDescent="0.35">
      <c r="H1081" s="1"/>
    </row>
    <row r="1082" spans="8:8" ht="16.5" x14ac:dyDescent="0.35">
      <c r="H1082" s="1"/>
    </row>
    <row r="1083" spans="8:8" ht="16.5" x14ac:dyDescent="0.35">
      <c r="H1083" s="1"/>
    </row>
    <row r="1084" spans="8:8" ht="16.5" x14ac:dyDescent="0.35">
      <c r="H1084" s="1"/>
    </row>
    <row r="1085" spans="8:8" ht="16.5" x14ac:dyDescent="0.35">
      <c r="H1085" s="1"/>
    </row>
    <row r="1086" spans="8:8" ht="16.5" x14ac:dyDescent="0.35">
      <c r="H1086" s="1"/>
    </row>
    <row r="1087" spans="8:8" ht="16.5" x14ac:dyDescent="0.35">
      <c r="H1087" s="1"/>
    </row>
    <row r="1088" spans="8:8" ht="16.5" x14ac:dyDescent="0.35">
      <c r="H1088" s="1"/>
    </row>
    <row r="1089" spans="8:8" ht="16.5" x14ac:dyDescent="0.35">
      <c r="H1089" s="1"/>
    </row>
    <row r="1090" spans="8:8" ht="16.5" x14ac:dyDescent="0.35">
      <c r="H1090" s="1"/>
    </row>
    <row r="1091" spans="8:8" ht="16.5" x14ac:dyDescent="0.35">
      <c r="H1091" s="1"/>
    </row>
    <row r="1092" spans="8:8" ht="16.5" x14ac:dyDescent="0.35">
      <c r="H1092" s="1"/>
    </row>
    <row r="1093" spans="8:8" ht="16.5" x14ac:dyDescent="0.35">
      <c r="H1093" s="1"/>
    </row>
    <row r="1094" spans="8:8" ht="16.5" x14ac:dyDescent="0.35">
      <c r="H1094" s="1"/>
    </row>
    <row r="1095" spans="8:8" ht="16.5" x14ac:dyDescent="0.35">
      <c r="H1095" s="1"/>
    </row>
    <row r="1096" spans="8:8" ht="16.5" x14ac:dyDescent="0.35">
      <c r="H1096" s="1"/>
    </row>
    <row r="1097" spans="8:8" ht="16.5" x14ac:dyDescent="0.35">
      <c r="H1097" s="1"/>
    </row>
    <row r="1098" spans="8:8" ht="16.5" x14ac:dyDescent="0.35">
      <c r="H1098" s="1"/>
    </row>
    <row r="1099" spans="8:8" ht="16.5" x14ac:dyDescent="0.35">
      <c r="H1099" s="1"/>
    </row>
    <row r="1100" spans="8:8" ht="16.5" x14ac:dyDescent="0.35">
      <c r="H1100" s="1"/>
    </row>
    <row r="1101" spans="8:8" ht="16.5" x14ac:dyDescent="0.35">
      <c r="H1101" s="1"/>
    </row>
    <row r="1102" spans="8:8" ht="16.5" x14ac:dyDescent="0.35">
      <c r="H1102" s="1"/>
    </row>
    <row r="1103" spans="8:8" ht="16.5" x14ac:dyDescent="0.35">
      <c r="H1103" s="1"/>
    </row>
    <row r="1104" spans="8:8" ht="16.5" x14ac:dyDescent="0.35">
      <c r="H1104" s="1"/>
    </row>
    <row r="1105" spans="8:8" ht="16.5" x14ac:dyDescent="0.35">
      <c r="H1105" s="1"/>
    </row>
    <row r="1106" spans="8:8" ht="16.5" x14ac:dyDescent="0.35">
      <c r="H1106" s="1"/>
    </row>
    <row r="1107" spans="8:8" ht="16.5" x14ac:dyDescent="0.35">
      <c r="H1107" s="1"/>
    </row>
    <row r="1108" spans="8:8" ht="16.5" x14ac:dyDescent="0.35">
      <c r="H1108" s="1"/>
    </row>
    <row r="1109" spans="8:8" ht="16.5" x14ac:dyDescent="0.35">
      <c r="H1109" s="1"/>
    </row>
    <row r="1110" spans="8:8" ht="16.5" x14ac:dyDescent="0.35">
      <c r="H1110" s="1"/>
    </row>
    <row r="1111" spans="8:8" ht="16.5" x14ac:dyDescent="0.35">
      <c r="H1111" s="1"/>
    </row>
    <row r="1112" spans="8:8" ht="16.5" x14ac:dyDescent="0.35">
      <c r="H1112" s="1"/>
    </row>
    <row r="1113" spans="8:8" ht="16.5" x14ac:dyDescent="0.35">
      <c r="H1113" s="1"/>
    </row>
    <row r="1114" spans="8:8" ht="16.5" x14ac:dyDescent="0.35">
      <c r="H1114" s="1"/>
    </row>
    <row r="1115" spans="8:8" ht="16.5" x14ac:dyDescent="0.35">
      <c r="H1115" s="1"/>
    </row>
    <row r="1116" spans="8:8" ht="16.5" x14ac:dyDescent="0.35">
      <c r="H1116" s="1"/>
    </row>
    <row r="1117" spans="8:8" ht="16.5" x14ac:dyDescent="0.35">
      <c r="H1117" s="1"/>
    </row>
    <row r="1118" spans="8:8" ht="16.5" x14ac:dyDescent="0.35">
      <c r="H1118" s="1"/>
    </row>
    <row r="1119" spans="8:8" ht="16.5" x14ac:dyDescent="0.35">
      <c r="H1119" s="1"/>
    </row>
    <row r="1120" spans="8:8" ht="16.5" x14ac:dyDescent="0.35">
      <c r="H1120" s="1"/>
    </row>
    <row r="1121" spans="8:8" ht="16.5" x14ac:dyDescent="0.35">
      <c r="H1121" s="1"/>
    </row>
    <row r="1122" spans="8:8" ht="16.5" x14ac:dyDescent="0.35">
      <c r="H1122" s="1"/>
    </row>
    <row r="1123" spans="8:8" ht="16.5" x14ac:dyDescent="0.35">
      <c r="H1123" s="1"/>
    </row>
    <row r="1124" spans="8:8" ht="16.5" x14ac:dyDescent="0.35">
      <c r="H1124" s="1"/>
    </row>
    <row r="1125" spans="8:8" ht="16.5" x14ac:dyDescent="0.35">
      <c r="H1125" s="1"/>
    </row>
    <row r="1126" spans="8:8" ht="16.5" x14ac:dyDescent="0.35">
      <c r="H1126" s="1"/>
    </row>
    <row r="1127" spans="8:8" ht="16.5" x14ac:dyDescent="0.35">
      <c r="H1127" s="1"/>
    </row>
    <row r="1128" spans="8:8" ht="16.5" x14ac:dyDescent="0.35">
      <c r="H1128" s="1"/>
    </row>
    <row r="1129" spans="8:8" ht="16.5" x14ac:dyDescent="0.35">
      <c r="H1129" s="1"/>
    </row>
    <row r="1130" spans="8:8" ht="16.5" x14ac:dyDescent="0.35">
      <c r="H1130" s="1"/>
    </row>
    <row r="1131" spans="8:8" ht="16.5" x14ac:dyDescent="0.35">
      <c r="H1131" s="1"/>
    </row>
    <row r="1132" spans="8:8" ht="16.5" x14ac:dyDescent="0.35">
      <c r="H1132" s="1"/>
    </row>
    <row r="1133" spans="8:8" ht="16.5" x14ac:dyDescent="0.35">
      <c r="H1133" s="1"/>
    </row>
    <row r="1134" spans="8:8" ht="16.5" x14ac:dyDescent="0.35">
      <c r="H1134" s="1"/>
    </row>
    <row r="1135" spans="8:8" ht="16.5" x14ac:dyDescent="0.35">
      <c r="H1135" s="1"/>
    </row>
    <row r="1136" spans="8:8" ht="16.5" x14ac:dyDescent="0.35">
      <c r="H1136" s="1"/>
    </row>
    <row r="1137" spans="8:8" ht="16.5" x14ac:dyDescent="0.35">
      <c r="H1137" s="1"/>
    </row>
    <row r="1138" spans="8:8" ht="16.5" x14ac:dyDescent="0.35">
      <c r="H1138" s="1"/>
    </row>
    <row r="1139" spans="8:8" ht="16.5" x14ac:dyDescent="0.35">
      <c r="H1139" s="1"/>
    </row>
    <row r="1140" spans="8:8" ht="16.5" x14ac:dyDescent="0.35">
      <c r="H1140" s="1"/>
    </row>
    <row r="1141" spans="8:8" ht="16.5" x14ac:dyDescent="0.35">
      <c r="H1141" s="1"/>
    </row>
    <row r="1142" spans="8:8" ht="16.5" x14ac:dyDescent="0.35">
      <c r="H1142" s="1"/>
    </row>
    <row r="1143" spans="8:8" ht="16.5" x14ac:dyDescent="0.35">
      <c r="H1143" s="1"/>
    </row>
    <row r="1144" spans="8:8" ht="16.5" x14ac:dyDescent="0.35">
      <c r="H1144" s="1"/>
    </row>
    <row r="1145" spans="8:8" ht="16.5" x14ac:dyDescent="0.35">
      <c r="H1145" s="1"/>
    </row>
    <row r="1146" spans="8:8" ht="16.5" x14ac:dyDescent="0.35">
      <c r="H1146" s="1"/>
    </row>
    <row r="1147" spans="8:8" ht="16.5" x14ac:dyDescent="0.35">
      <c r="H1147" s="1"/>
    </row>
    <row r="1148" spans="8:8" ht="16.5" x14ac:dyDescent="0.35">
      <c r="H1148" s="1"/>
    </row>
    <row r="1149" spans="8:8" ht="16.5" x14ac:dyDescent="0.35">
      <c r="H1149" s="1"/>
    </row>
    <row r="1150" spans="8:8" ht="16.5" x14ac:dyDescent="0.35">
      <c r="H1150" s="1"/>
    </row>
    <row r="1151" spans="8:8" ht="16.5" x14ac:dyDescent="0.35">
      <c r="H1151" s="1"/>
    </row>
    <row r="1152" spans="8:8" ht="16.5" x14ac:dyDescent="0.35">
      <c r="H1152" s="1"/>
    </row>
    <row r="1153" spans="8:8" ht="16.5" x14ac:dyDescent="0.35">
      <c r="H1153" s="1"/>
    </row>
    <row r="1154" spans="8:8" ht="16.5" x14ac:dyDescent="0.35">
      <c r="H1154" s="1"/>
    </row>
    <row r="1155" spans="8:8" ht="16.5" x14ac:dyDescent="0.35">
      <c r="H1155" s="1"/>
    </row>
    <row r="1156" spans="8:8" ht="16.5" x14ac:dyDescent="0.35">
      <c r="H1156" s="1"/>
    </row>
    <row r="1157" spans="8:8" ht="16.5" x14ac:dyDescent="0.35">
      <c r="H1157" s="1"/>
    </row>
    <row r="1158" spans="8:8" ht="16.5" x14ac:dyDescent="0.35">
      <c r="H1158" s="1"/>
    </row>
    <row r="1159" spans="8:8" ht="16.5" x14ac:dyDescent="0.35">
      <c r="H1159" s="1"/>
    </row>
    <row r="1160" spans="8:8" ht="16.5" x14ac:dyDescent="0.35">
      <c r="H1160" s="1"/>
    </row>
    <row r="1161" spans="8:8" ht="16.5" x14ac:dyDescent="0.35">
      <c r="H1161" s="1"/>
    </row>
    <row r="1162" spans="8:8" ht="16.5" x14ac:dyDescent="0.35">
      <c r="H1162" s="1"/>
    </row>
    <row r="1163" spans="8:8" ht="16.5" x14ac:dyDescent="0.35">
      <c r="H1163" s="1"/>
    </row>
    <row r="1164" spans="8:8" ht="16.5" x14ac:dyDescent="0.35">
      <c r="H1164" s="1"/>
    </row>
    <row r="1165" spans="8:8" ht="16.5" x14ac:dyDescent="0.35">
      <c r="H1165" s="1"/>
    </row>
    <row r="1166" spans="8:8" ht="16.5" x14ac:dyDescent="0.35">
      <c r="H1166" s="1"/>
    </row>
    <row r="1167" spans="8:8" ht="16.5" x14ac:dyDescent="0.35">
      <c r="H1167" s="1"/>
    </row>
    <row r="1168" spans="8:8" ht="16.5" x14ac:dyDescent="0.35">
      <c r="H1168" s="1"/>
    </row>
    <row r="1169" spans="8:8" ht="16.5" x14ac:dyDescent="0.35">
      <c r="H1169" s="1"/>
    </row>
    <row r="1170" spans="8:8" ht="16.5" x14ac:dyDescent="0.35">
      <c r="H1170" s="1"/>
    </row>
    <row r="1171" spans="8:8" ht="16.5" x14ac:dyDescent="0.35">
      <c r="H1171" s="1"/>
    </row>
    <row r="1172" spans="8:8" ht="16.5" x14ac:dyDescent="0.35">
      <c r="H1172" s="1"/>
    </row>
    <row r="1173" spans="8:8" ht="16.5" x14ac:dyDescent="0.35">
      <c r="H1173" s="1"/>
    </row>
    <row r="1174" spans="8:8" ht="16.5" x14ac:dyDescent="0.35">
      <c r="H1174" s="1"/>
    </row>
    <row r="1175" spans="8:8" ht="16.5" x14ac:dyDescent="0.35">
      <c r="H1175" s="1"/>
    </row>
    <row r="1176" spans="8:8" ht="16.5" x14ac:dyDescent="0.35">
      <c r="H1176" s="1"/>
    </row>
    <row r="1177" spans="8:8" ht="16.5" x14ac:dyDescent="0.35">
      <c r="H1177" s="1"/>
    </row>
    <row r="1178" spans="8:8" ht="16.5" x14ac:dyDescent="0.35">
      <c r="H1178" s="1"/>
    </row>
    <row r="1179" spans="8:8" ht="16.5" x14ac:dyDescent="0.35">
      <c r="H1179" s="1"/>
    </row>
    <row r="1180" spans="8:8" ht="16.5" x14ac:dyDescent="0.35">
      <c r="H1180" s="1"/>
    </row>
    <row r="1181" spans="8:8" ht="16.5" x14ac:dyDescent="0.35">
      <c r="H1181" s="1"/>
    </row>
    <row r="1182" spans="8:8" ht="16.5" x14ac:dyDescent="0.35">
      <c r="H1182" s="1"/>
    </row>
    <row r="1183" spans="8:8" ht="16.5" x14ac:dyDescent="0.35">
      <c r="H1183" s="1"/>
    </row>
    <row r="1184" spans="8:8" ht="16.5" x14ac:dyDescent="0.35">
      <c r="H1184" s="1"/>
    </row>
    <row r="1185" spans="8:8" ht="16.5" x14ac:dyDescent="0.35">
      <c r="H1185" s="1"/>
    </row>
    <row r="1186" spans="8:8" ht="16.5" x14ac:dyDescent="0.35">
      <c r="H1186" s="1"/>
    </row>
    <row r="1187" spans="8:8" ht="16.5" x14ac:dyDescent="0.35">
      <c r="H1187" s="1"/>
    </row>
    <row r="1188" spans="8:8" ht="16.5" x14ac:dyDescent="0.35">
      <c r="H1188" s="1"/>
    </row>
    <row r="1189" spans="8:8" ht="16.5" x14ac:dyDescent="0.35">
      <c r="H1189" s="1"/>
    </row>
    <row r="1190" spans="8:8" ht="16.5" x14ac:dyDescent="0.35">
      <c r="H1190" s="1"/>
    </row>
    <row r="1191" spans="8:8" ht="16.5" x14ac:dyDescent="0.35">
      <c r="H1191" s="1"/>
    </row>
    <row r="1192" spans="8:8" ht="16.5" x14ac:dyDescent="0.35">
      <c r="H1192" s="1"/>
    </row>
    <row r="1193" spans="8:8" ht="16.5" x14ac:dyDescent="0.35">
      <c r="H1193" s="1"/>
    </row>
    <row r="1194" spans="8:8" ht="16.5" x14ac:dyDescent="0.35">
      <c r="H1194" s="1"/>
    </row>
    <row r="1195" spans="8:8" ht="16.5" x14ac:dyDescent="0.35">
      <c r="H1195" s="1"/>
    </row>
    <row r="1196" spans="8:8" ht="16.5" x14ac:dyDescent="0.35">
      <c r="H1196" s="1"/>
    </row>
    <row r="1197" spans="8:8" ht="16.5" x14ac:dyDescent="0.35">
      <c r="H1197" s="1"/>
    </row>
    <row r="1198" spans="8:8" ht="16.5" x14ac:dyDescent="0.35">
      <c r="H1198" s="1"/>
    </row>
    <row r="1199" spans="8:8" ht="16.5" x14ac:dyDescent="0.35">
      <c r="H1199" s="1"/>
    </row>
    <row r="1200" spans="8:8" ht="16.5" x14ac:dyDescent="0.35">
      <c r="H1200" s="1"/>
    </row>
    <row r="1201" spans="8:8" ht="16.5" x14ac:dyDescent="0.35">
      <c r="H1201" s="1"/>
    </row>
    <row r="1202" spans="8:8" ht="16.5" x14ac:dyDescent="0.35">
      <c r="H1202" s="1"/>
    </row>
    <row r="1203" spans="8:8" ht="16.5" x14ac:dyDescent="0.35">
      <c r="H1203" s="1"/>
    </row>
    <row r="1204" spans="8:8" ht="16.5" x14ac:dyDescent="0.35">
      <c r="H1204" s="1"/>
    </row>
    <row r="1205" spans="8:8" ht="16.5" x14ac:dyDescent="0.35">
      <c r="H1205" s="1"/>
    </row>
    <row r="1206" spans="8:8" ht="16.5" x14ac:dyDescent="0.35">
      <c r="H1206" s="1"/>
    </row>
    <row r="1207" spans="8:8" ht="16.5" x14ac:dyDescent="0.35">
      <c r="H1207" s="1"/>
    </row>
    <row r="1208" spans="8:8" ht="16.5" x14ac:dyDescent="0.35">
      <c r="H1208" s="1"/>
    </row>
    <row r="1209" spans="8:8" ht="16.5" x14ac:dyDescent="0.35">
      <c r="H1209" s="1"/>
    </row>
    <row r="1210" spans="8:8" ht="16.5" x14ac:dyDescent="0.35">
      <c r="H1210" s="1"/>
    </row>
    <row r="1211" spans="8:8" ht="16.5" x14ac:dyDescent="0.35">
      <c r="H1211" s="1"/>
    </row>
    <row r="1212" spans="8:8" ht="16.5" x14ac:dyDescent="0.35">
      <c r="H1212" s="1"/>
    </row>
    <row r="1213" spans="8:8" ht="16.5" x14ac:dyDescent="0.35">
      <c r="H1213" s="1"/>
    </row>
    <row r="1214" spans="8:8" ht="16.5" x14ac:dyDescent="0.35">
      <c r="H1214" s="1"/>
    </row>
    <row r="1215" spans="8:8" ht="16.5" x14ac:dyDescent="0.35">
      <c r="H1215" s="1"/>
    </row>
    <row r="1216" spans="8:8" ht="16.5" x14ac:dyDescent="0.35">
      <c r="H1216" s="1"/>
    </row>
    <row r="1217" spans="8:8" ht="16.5" x14ac:dyDescent="0.35">
      <c r="H1217" s="1"/>
    </row>
    <row r="1218" spans="8:8" ht="16.5" x14ac:dyDescent="0.35">
      <c r="H1218" s="1"/>
    </row>
    <row r="1219" spans="8:8" ht="16.5" x14ac:dyDescent="0.35">
      <c r="H1219" s="1"/>
    </row>
    <row r="1220" spans="8:8" ht="16.5" x14ac:dyDescent="0.35">
      <c r="H1220" s="1"/>
    </row>
    <row r="1221" spans="8:8" ht="16.5" x14ac:dyDescent="0.35">
      <c r="H1221" s="1"/>
    </row>
    <row r="1222" spans="8:8" ht="16.5" x14ac:dyDescent="0.35">
      <c r="H1222" s="1"/>
    </row>
    <row r="1223" spans="8:8" ht="16.5" x14ac:dyDescent="0.35">
      <c r="H1223" s="1"/>
    </row>
    <row r="1224" spans="8:8" ht="16.5" x14ac:dyDescent="0.35">
      <c r="H1224" s="1"/>
    </row>
    <row r="1225" spans="8:8" ht="16.5" x14ac:dyDescent="0.35">
      <c r="H1225" s="1"/>
    </row>
    <row r="1226" spans="8:8" ht="16.5" x14ac:dyDescent="0.35">
      <c r="H1226" s="1"/>
    </row>
    <row r="1227" spans="8:8" ht="16.5" x14ac:dyDescent="0.35">
      <c r="H1227" s="1"/>
    </row>
    <row r="1228" spans="8:8" ht="16.5" x14ac:dyDescent="0.35">
      <c r="H1228" s="1"/>
    </row>
    <row r="1229" spans="8:8" ht="16.5" x14ac:dyDescent="0.35">
      <c r="H1229" s="1"/>
    </row>
    <row r="1230" spans="8:8" ht="16.5" x14ac:dyDescent="0.35">
      <c r="H1230" s="1"/>
    </row>
    <row r="1231" spans="8:8" ht="16.5" x14ac:dyDescent="0.35">
      <c r="H1231" s="1"/>
    </row>
    <row r="1232" spans="8:8" ht="16.5" x14ac:dyDescent="0.35">
      <c r="H1232" s="1"/>
    </row>
    <row r="1233" spans="8:8" ht="16.5" x14ac:dyDescent="0.35">
      <c r="H1233" s="1"/>
    </row>
    <row r="1234" spans="8:8" ht="16.5" x14ac:dyDescent="0.35">
      <c r="H1234" s="1"/>
    </row>
    <row r="1235" spans="8:8" ht="16.5" x14ac:dyDescent="0.35">
      <c r="H1235" s="1"/>
    </row>
    <row r="1236" spans="8:8" ht="16.5" x14ac:dyDescent="0.35">
      <c r="H1236" s="1"/>
    </row>
    <row r="1237" spans="8:8" ht="16.5" x14ac:dyDescent="0.35">
      <c r="H1237" s="1"/>
    </row>
    <row r="1238" spans="8:8" ht="16.5" x14ac:dyDescent="0.35">
      <c r="H1238" s="1"/>
    </row>
    <row r="1239" spans="8:8" ht="16.5" x14ac:dyDescent="0.35">
      <c r="H1239" s="1"/>
    </row>
    <row r="1240" spans="8:8" ht="16.5" x14ac:dyDescent="0.35">
      <c r="H1240" s="1"/>
    </row>
    <row r="1241" spans="8:8" ht="16.5" x14ac:dyDescent="0.35">
      <c r="H1241" s="1"/>
    </row>
    <row r="1242" spans="8:8" ht="16.5" x14ac:dyDescent="0.35">
      <c r="H1242" s="1"/>
    </row>
    <row r="1243" spans="8:8" ht="16.5" x14ac:dyDescent="0.35">
      <c r="H1243" s="1"/>
    </row>
    <row r="1244" spans="8:8" ht="16.5" x14ac:dyDescent="0.35">
      <c r="H1244" s="1"/>
    </row>
    <row r="1245" spans="8:8" ht="16.5" x14ac:dyDescent="0.35">
      <c r="H1245" s="1"/>
    </row>
    <row r="1246" spans="8:8" ht="16.5" x14ac:dyDescent="0.35">
      <c r="H1246" s="1"/>
    </row>
    <row r="1247" spans="8:8" ht="16.5" x14ac:dyDescent="0.35">
      <c r="H1247" s="1"/>
    </row>
    <row r="1248" spans="8:8" ht="16.5" x14ac:dyDescent="0.35">
      <c r="H1248" s="1"/>
    </row>
    <row r="1249" spans="8:8" ht="16.5" x14ac:dyDescent="0.35">
      <c r="H1249" s="1"/>
    </row>
    <row r="1250" spans="8:8" ht="16.5" x14ac:dyDescent="0.35">
      <c r="H1250" s="1"/>
    </row>
    <row r="1251" spans="8:8" ht="16.5" x14ac:dyDescent="0.35">
      <c r="H1251" s="1"/>
    </row>
    <row r="1252" spans="8:8" ht="16.5" x14ac:dyDescent="0.35">
      <c r="H1252" s="1"/>
    </row>
    <row r="1253" spans="8:8" ht="16.5" x14ac:dyDescent="0.35">
      <c r="H1253" s="1"/>
    </row>
    <row r="1254" spans="8:8" ht="16.5" x14ac:dyDescent="0.35">
      <c r="H1254" s="1"/>
    </row>
    <row r="1255" spans="8:8" ht="16.5" x14ac:dyDescent="0.35">
      <c r="H1255" s="1"/>
    </row>
    <row r="1256" spans="8:8" ht="16.5" x14ac:dyDescent="0.35">
      <c r="H1256" s="1"/>
    </row>
    <row r="1257" spans="8:8" ht="16.5" x14ac:dyDescent="0.35">
      <c r="H1257" s="1"/>
    </row>
    <row r="1258" spans="8:8" ht="16.5" x14ac:dyDescent="0.35">
      <c r="H1258" s="1"/>
    </row>
    <row r="1259" spans="8:8" ht="16.5" x14ac:dyDescent="0.35">
      <c r="H1259" s="1"/>
    </row>
    <row r="1260" spans="8:8" ht="16.5" x14ac:dyDescent="0.35">
      <c r="H1260" s="1"/>
    </row>
    <row r="1261" spans="8:8" ht="16.5" x14ac:dyDescent="0.35">
      <c r="H1261" s="1"/>
    </row>
    <row r="1262" spans="8:8" ht="16.5" x14ac:dyDescent="0.35">
      <c r="H1262" s="1"/>
    </row>
    <row r="1263" spans="8:8" ht="16.5" x14ac:dyDescent="0.35">
      <c r="H1263" s="1"/>
    </row>
    <row r="1264" spans="8:8" ht="16.5" x14ac:dyDescent="0.35">
      <c r="H1264" s="1"/>
    </row>
    <row r="1265" spans="8:8" ht="16.5" x14ac:dyDescent="0.35">
      <c r="H1265" s="1"/>
    </row>
    <row r="1266" spans="8:8" ht="16.5" x14ac:dyDescent="0.35">
      <c r="H1266" s="1"/>
    </row>
    <row r="1267" spans="8:8" ht="16.5" x14ac:dyDescent="0.35">
      <c r="H1267" s="1"/>
    </row>
    <row r="1268" spans="8:8" ht="16.5" x14ac:dyDescent="0.35">
      <c r="H1268" s="1"/>
    </row>
    <row r="1269" spans="8:8" ht="16.5" x14ac:dyDescent="0.35">
      <c r="H1269" s="1"/>
    </row>
    <row r="1270" spans="8:8" ht="16.5" x14ac:dyDescent="0.35">
      <c r="H1270" s="1"/>
    </row>
    <row r="1271" spans="8:8" ht="16.5" x14ac:dyDescent="0.35">
      <c r="H1271" s="1"/>
    </row>
    <row r="1272" spans="8:8" ht="16.5" x14ac:dyDescent="0.35">
      <c r="H1272" s="1"/>
    </row>
    <row r="1273" spans="8:8" ht="16.5" x14ac:dyDescent="0.35">
      <c r="H1273" s="1"/>
    </row>
    <row r="1274" spans="8:8" ht="16.5" x14ac:dyDescent="0.35">
      <c r="H1274" s="1"/>
    </row>
    <row r="1275" spans="8:8" ht="16.5" x14ac:dyDescent="0.35">
      <c r="H1275" s="1"/>
    </row>
    <row r="1276" spans="8:8" ht="16.5" x14ac:dyDescent="0.35">
      <c r="H1276" s="1"/>
    </row>
    <row r="1277" spans="8:8" ht="16.5" x14ac:dyDescent="0.35">
      <c r="H1277" s="1"/>
    </row>
    <row r="1278" spans="8:8" ht="16.5" x14ac:dyDescent="0.35">
      <c r="H1278" s="1"/>
    </row>
    <row r="1279" spans="8:8" ht="16.5" x14ac:dyDescent="0.35">
      <c r="H1279" s="1"/>
    </row>
    <row r="1280" spans="8:8" ht="16.5" x14ac:dyDescent="0.35">
      <c r="H1280" s="1"/>
    </row>
    <row r="1281" spans="8:8" ht="16.5" x14ac:dyDescent="0.35">
      <c r="H1281" s="1"/>
    </row>
    <row r="1282" spans="8:8" ht="16.5" x14ac:dyDescent="0.35">
      <c r="H1282" s="1"/>
    </row>
    <row r="1283" spans="8:8" ht="16.5" x14ac:dyDescent="0.35">
      <c r="H1283" s="1"/>
    </row>
    <row r="1284" spans="8:8" ht="16.5" x14ac:dyDescent="0.35">
      <c r="H1284" s="1"/>
    </row>
    <row r="1285" spans="8:8" ht="16.5" x14ac:dyDescent="0.35">
      <c r="H1285" s="1"/>
    </row>
    <row r="1286" spans="8:8" ht="16.5" x14ac:dyDescent="0.35">
      <c r="H1286" s="1"/>
    </row>
    <row r="1287" spans="8:8" ht="16.5" x14ac:dyDescent="0.35">
      <c r="H1287" s="1"/>
    </row>
    <row r="1288" spans="8:8" ht="16.5" x14ac:dyDescent="0.35">
      <c r="H1288" s="1"/>
    </row>
    <row r="1289" spans="8:8" ht="16.5" x14ac:dyDescent="0.35">
      <c r="H1289" s="1"/>
    </row>
    <row r="1290" spans="8:8" ht="16.5" x14ac:dyDescent="0.35">
      <c r="H1290" s="1"/>
    </row>
    <row r="1291" spans="8:8" ht="16.5" x14ac:dyDescent="0.35">
      <c r="H1291" s="1"/>
    </row>
    <row r="1292" spans="8:8" ht="16.5" x14ac:dyDescent="0.35">
      <c r="H1292" s="1"/>
    </row>
    <row r="1293" spans="8:8" ht="16.5" x14ac:dyDescent="0.35">
      <c r="H1293" s="1"/>
    </row>
    <row r="1294" spans="8:8" ht="16.5" x14ac:dyDescent="0.35">
      <c r="H1294" s="1"/>
    </row>
    <row r="1295" spans="8:8" ht="16.5" x14ac:dyDescent="0.35">
      <c r="H1295" s="1"/>
    </row>
    <row r="1296" spans="8:8" ht="16.5" x14ac:dyDescent="0.35">
      <c r="H1296" s="1"/>
    </row>
    <row r="1297" spans="8:8" ht="16.5" x14ac:dyDescent="0.35">
      <c r="H1297" s="1"/>
    </row>
    <row r="1298" spans="8:8" ht="16.5" x14ac:dyDescent="0.35">
      <c r="H1298" s="1"/>
    </row>
    <row r="1299" spans="8:8" ht="16.5" x14ac:dyDescent="0.35">
      <c r="H1299" s="1"/>
    </row>
    <row r="1300" spans="8:8" ht="16.5" x14ac:dyDescent="0.35">
      <c r="H1300" s="1"/>
    </row>
    <row r="1301" spans="8:8" ht="16.5" x14ac:dyDescent="0.35">
      <c r="H1301" s="1"/>
    </row>
    <row r="1302" spans="8:8" ht="16.5" x14ac:dyDescent="0.35">
      <c r="H1302" s="1"/>
    </row>
    <row r="1303" spans="8:8" ht="16.5" x14ac:dyDescent="0.35">
      <c r="H1303" s="1"/>
    </row>
    <row r="1304" spans="8:8" ht="16.5" x14ac:dyDescent="0.35">
      <c r="H1304" s="1"/>
    </row>
    <row r="1305" spans="8:8" ht="16.5" x14ac:dyDescent="0.35">
      <c r="H1305" s="1"/>
    </row>
    <row r="1306" spans="8:8" ht="16.5" x14ac:dyDescent="0.35">
      <c r="H1306" s="1"/>
    </row>
    <row r="1307" spans="8:8" ht="16.5" x14ac:dyDescent="0.35">
      <c r="H1307" s="1"/>
    </row>
    <row r="1308" spans="8:8" ht="16.5" x14ac:dyDescent="0.35">
      <c r="H1308" s="1"/>
    </row>
    <row r="1309" spans="8:8" ht="16.5" x14ac:dyDescent="0.35">
      <c r="H1309" s="1"/>
    </row>
    <row r="1310" spans="8:8" ht="16.5" x14ac:dyDescent="0.35">
      <c r="H1310" s="1"/>
    </row>
    <row r="1311" spans="8:8" ht="16.5" x14ac:dyDescent="0.35">
      <c r="H1311" s="1"/>
    </row>
    <row r="1312" spans="8:8" ht="16.5" x14ac:dyDescent="0.35">
      <c r="H1312" s="1"/>
    </row>
    <row r="1313" spans="8:8" ht="16.5" x14ac:dyDescent="0.35">
      <c r="H1313" s="1"/>
    </row>
    <row r="1314" spans="8:8" ht="16.5" x14ac:dyDescent="0.35">
      <c r="H1314" s="1"/>
    </row>
    <row r="1315" spans="8:8" ht="16.5" x14ac:dyDescent="0.35">
      <c r="H1315" s="1"/>
    </row>
    <row r="1316" spans="8:8" ht="16.5" x14ac:dyDescent="0.35">
      <c r="H1316" s="1"/>
    </row>
    <row r="1317" spans="8:8" ht="16.5" x14ac:dyDescent="0.35">
      <c r="H1317" s="1"/>
    </row>
    <row r="1318" spans="8:8" ht="16.5" x14ac:dyDescent="0.35">
      <c r="H1318" s="1"/>
    </row>
    <row r="1319" spans="8:8" ht="16.5" x14ac:dyDescent="0.35">
      <c r="H1319" s="1"/>
    </row>
    <row r="1320" spans="8:8" ht="16.5" x14ac:dyDescent="0.35">
      <c r="H1320" s="1"/>
    </row>
    <row r="1321" spans="8:8" ht="16.5" x14ac:dyDescent="0.35">
      <c r="H1321" s="1"/>
    </row>
    <row r="1322" spans="8:8" ht="16.5" x14ac:dyDescent="0.35">
      <c r="H1322" s="1"/>
    </row>
    <row r="1323" spans="8:8" ht="16.5" x14ac:dyDescent="0.35">
      <c r="H1323" s="1"/>
    </row>
    <row r="1324" spans="8:8" ht="16.5" x14ac:dyDescent="0.35">
      <c r="H1324" s="1"/>
    </row>
    <row r="1325" spans="8:8" ht="16.5" x14ac:dyDescent="0.35">
      <c r="H1325" s="1"/>
    </row>
    <row r="1326" spans="8:8" ht="16.5" x14ac:dyDescent="0.35">
      <c r="H1326" s="1"/>
    </row>
    <row r="1327" spans="8:8" ht="16.5" x14ac:dyDescent="0.35">
      <c r="H1327" s="1"/>
    </row>
    <row r="1328" spans="8:8" ht="16.5" x14ac:dyDescent="0.35">
      <c r="H1328" s="1"/>
    </row>
    <row r="1329" spans="8:8" ht="16.5" x14ac:dyDescent="0.35">
      <c r="H1329" s="1"/>
    </row>
    <row r="1330" spans="8:8" ht="16.5" x14ac:dyDescent="0.35">
      <c r="H1330" s="1"/>
    </row>
    <row r="1331" spans="8:8" ht="16.5" x14ac:dyDescent="0.35">
      <c r="H1331" s="1"/>
    </row>
    <row r="1332" spans="8:8" ht="16.5" x14ac:dyDescent="0.35">
      <c r="H1332" s="1"/>
    </row>
    <row r="1333" spans="8:8" ht="16.5" x14ac:dyDescent="0.35">
      <c r="H1333" s="1"/>
    </row>
    <row r="1334" spans="8:8" ht="16.5" x14ac:dyDescent="0.35">
      <c r="H1334" s="1"/>
    </row>
    <row r="1335" spans="8:8" ht="16.5" x14ac:dyDescent="0.35">
      <c r="H1335" s="1"/>
    </row>
    <row r="1336" spans="8:8" ht="16.5" x14ac:dyDescent="0.35">
      <c r="H1336" s="1"/>
    </row>
    <row r="1337" spans="8:8" ht="16.5" x14ac:dyDescent="0.35">
      <c r="H1337" s="1"/>
    </row>
    <row r="1338" spans="8:8" ht="16.5" x14ac:dyDescent="0.35">
      <c r="H1338" s="1"/>
    </row>
    <row r="1339" spans="8:8" ht="16.5" x14ac:dyDescent="0.35">
      <c r="H1339" s="1"/>
    </row>
    <row r="1340" spans="8:8" ht="16.5" x14ac:dyDescent="0.35">
      <c r="H1340" s="1"/>
    </row>
    <row r="1341" spans="8:8" ht="16.5" x14ac:dyDescent="0.35">
      <c r="H1341" s="1"/>
    </row>
    <row r="1342" spans="8:8" ht="16.5" x14ac:dyDescent="0.35">
      <c r="H1342" s="1"/>
    </row>
    <row r="1343" spans="8:8" ht="16.5" x14ac:dyDescent="0.35">
      <c r="H1343" s="1"/>
    </row>
    <row r="1344" spans="8:8" ht="16.5" x14ac:dyDescent="0.35">
      <c r="H1344" s="1"/>
    </row>
    <row r="1345" spans="8:8" ht="16.5" x14ac:dyDescent="0.35">
      <c r="H1345" s="1"/>
    </row>
    <row r="1346" spans="8:8" ht="16.5" x14ac:dyDescent="0.35">
      <c r="H1346" s="1"/>
    </row>
    <row r="1347" spans="8:8" ht="16.5" x14ac:dyDescent="0.35">
      <c r="H1347" s="1"/>
    </row>
    <row r="1348" spans="8:8" ht="16.5" x14ac:dyDescent="0.35">
      <c r="H1348" s="1"/>
    </row>
    <row r="1349" spans="8:8" ht="16.5" x14ac:dyDescent="0.35">
      <c r="H1349" s="1"/>
    </row>
    <row r="1350" spans="8:8" ht="16.5" x14ac:dyDescent="0.35">
      <c r="H1350" s="1"/>
    </row>
    <row r="1351" spans="8:8" ht="16.5" x14ac:dyDescent="0.35">
      <c r="H1351" s="1"/>
    </row>
    <row r="1352" spans="8:8" ht="16.5" x14ac:dyDescent="0.35">
      <c r="H1352" s="1"/>
    </row>
    <row r="1353" spans="8:8" ht="16.5" x14ac:dyDescent="0.35">
      <c r="H1353" s="1"/>
    </row>
    <row r="1354" spans="8:8" ht="16.5" x14ac:dyDescent="0.35">
      <c r="H1354" s="1"/>
    </row>
    <row r="1355" spans="8:8" ht="16.5" x14ac:dyDescent="0.35">
      <c r="H1355" s="1"/>
    </row>
    <row r="1356" spans="8:8" ht="16.5" x14ac:dyDescent="0.35">
      <c r="H1356" s="1"/>
    </row>
    <row r="1357" spans="8:8" ht="16.5" x14ac:dyDescent="0.35">
      <c r="H1357" s="1"/>
    </row>
    <row r="1358" spans="8:8" ht="16.5" x14ac:dyDescent="0.35">
      <c r="H1358" s="1"/>
    </row>
    <row r="1359" spans="8:8" ht="16.5" x14ac:dyDescent="0.35">
      <c r="H1359" s="1"/>
    </row>
    <row r="1360" spans="8:8" ht="16.5" x14ac:dyDescent="0.35">
      <c r="H1360" s="1"/>
    </row>
    <row r="1361" spans="8:8" ht="16.5" x14ac:dyDescent="0.35">
      <c r="H1361" s="1"/>
    </row>
    <row r="1362" spans="8:8" ht="16.5" x14ac:dyDescent="0.35">
      <c r="H1362" s="1"/>
    </row>
    <row r="1363" spans="8:8" ht="16.5" x14ac:dyDescent="0.35">
      <c r="H1363" s="1"/>
    </row>
    <row r="1364" spans="8:8" ht="16.5" x14ac:dyDescent="0.35">
      <c r="H1364" s="1"/>
    </row>
    <row r="1365" spans="8:8" ht="16.5" x14ac:dyDescent="0.35">
      <c r="H1365" s="1"/>
    </row>
    <row r="1366" spans="8:8" ht="16.5" x14ac:dyDescent="0.35">
      <c r="H1366" s="1"/>
    </row>
    <row r="1367" spans="8:8" ht="16.5" x14ac:dyDescent="0.35">
      <c r="H1367" s="1"/>
    </row>
    <row r="1368" spans="8:8" ht="16.5" x14ac:dyDescent="0.35">
      <c r="H1368" s="1"/>
    </row>
    <row r="1369" spans="8:8" ht="16.5" x14ac:dyDescent="0.35">
      <c r="H1369" s="1"/>
    </row>
    <row r="1370" spans="8:8" ht="16.5" x14ac:dyDescent="0.35">
      <c r="H1370" s="1"/>
    </row>
    <row r="1371" spans="8:8" ht="16.5" x14ac:dyDescent="0.35">
      <c r="H1371" s="1"/>
    </row>
    <row r="1372" spans="8:8" ht="16.5" x14ac:dyDescent="0.35">
      <c r="H1372" s="1"/>
    </row>
    <row r="1373" spans="8:8" ht="16.5" x14ac:dyDescent="0.35">
      <c r="H1373" s="1"/>
    </row>
    <row r="1374" spans="8:8" ht="16.5" x14ac:dyDescent="0.35">
      <c r="H1374" s="1"/>
    </row>
    <row r="1375" spans="8:8" ht="16.5" x14ac:dyDescent="0.35">
      <c r="H1375" s="1"/>
    </row>
    <row r="1376" spans="8:8" ht="16.5" x14ac:dyDescent="0.35">
      <c r="H1376" s="1"/>
    </row>
    <row r="1377" spans="8:8" ht="16.5" x14ac:dyDescent="0.35">
      <c r="H1377" s="1"/>
    </row>
    <row r="1378" spans="8:8" ht="16.5" x14ac:dyDescent="0.35">
      <c r="H1378" s="1"/>
    </row>
  </sheetData>
  <phoneticPr fontId="11" type="noConversion"/>
  <pageMargins left="0.75" right="0.75" top="1" bottom="1" header="0.5" footer="0.5"/>
  <pageSetup scale="36" fitToHeight="0" orientation="landscape" verticalDpi="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E46"/>
  <sheetViews>
    <sheetView workbookViewId="0">
      <selection activeCell="A14" sqref="A14"/>
    </sheetView>
  </sheetViews>
  <sheetFormatPr defaultRowHeight="15" x14ac:dyDescent="0.25"/>
  <cols>
    <col min="1" max="1" width="22" customWidth="1"/>
    <col min="2" max="2" width="15" customWidth="1"/>
    <col min="3" max="3" width="20" customWidth="1"/>
    <col min="4" max="4" width="12" customWidth="1"/>
    <col min="5" max="5" width="20" customWidth="1"/>
  </cols>
  <sheetData>
    <row r="1" spans="1:5" x14ac:dyDescent="0.25">
      <c r="A1" s="34" t="s">
        <v>7</v>
      </c>
      <c r="B1" s="34" t="s">
        <v>0</v>
      </c>
      <c r="C1" s="34" t="s">
        <v>8</v>
      </c>
      <c r="D1" s="34" t="s">
        <v>9</v>
      </c>
      <c r="E1" s="34" t="s">
        <v>10</v>
      </c>
    </row>
    <row r="2" spans="1:5" x14ac:dyDescent="0.25">
      <c r="A2" s="10">
        <v>46204.404756944445</v>
      </c>
      <c r="B2" t="s">
        <v>269</v>
      </c>
      <c r="C2" t="s">
        <v>12</v>
      </c>
      <c r="D2">
        <v>1</v>
      </c>
      <c r="E2" t="s">
        <v>592</v>
      </c>
    </row>
    <row r="3" spans="1:5" x14ac:dyDescent="0.25">
      <c r="A3" s="10">
        <v>46204.40519675926</v>
      </c>
      <c r="B3" t="s">
        <v>269</v>
      </c>
      <c r="C3" t="s">
        <v>593</v>
      </c>
      <c r="D3">
        <v>1</v>
      </c>
      <c r="E3" t="s">
        <v>592</v>
      </c>
    </row>
    <row r="4" spans="1:5" x14ac:dyDescent="0.25">
      <c r="A4" s="10">
        <v>46204.450231481482</v>
      </c>
      <c r="B4" t="s">
        <v>269</v>
      </c>
      <c r="C4" t="s">
        <v>12</v>
      </c>
      <c r="D4">
        <v>1</v>
      </c>
      <c r="E4" t="s">
        <v>592</v>
      </c>
    </row>
    <row r="5" spans="1:5" x14ac:dyDescent="0.25">
      <c r="A5" s="10">
        <v>46204.451041666667</v>
      </c>
      <c r="B5" t="s">
        <v>163</v>
      </c>
      <c r="C5" t="s">
        <v>12</v>
      </c>
      <c r="D5">
        <v>1</v>
      </c>
      <c r="E5" t="s">
        <v>592</v>
      </c>
    </row>
    <row r="6" spans="1:5" x14ac:dyDescent="0.25">
      <c r="A6" s="10">
        <v>46204.451238425929</v>
      </c>
      <c r="B6" t="s">
        <v>163</v>
      </c>
      <c r="C6" t="s">
        <v>593</v>
      </c>
      <c r="D6">
        <v>1</v>
      </c>
      <c r="E6" t="s">
        <v>592</v>
      </c>
    </row>
    <row r="7" spans="1:5" x14ac:dyDescent="0.25">
      <c r="A7" s="10">
        <v>46204.597650462965</v>
      </c>
      <c r="B7">
        <v>100416</v>
      </c>
      <c r="C7" t="s">
        <v>12</v>
      </c>
      <c r="D7">
        <v>1</v>
      </c>
      <c r="E7" t="s">
        <v>592</v>
      </c>
    </row>
    <row r="8" spans="1:5" x14ac:dyDescent="0.25">
      <c r="A8" s="10">
        <v>46204.599016203705</v>
      </c>
      <c r="B8" t="s">
        <v>343</v>
      </c>
      <c r="C8" t="s">
        <v>593</v>
      </c>
      <c r="D8">
        <v>5</v>
      </c>
      <c r="E8" t="s">
        <v>592</v>
      </c>
    </row>
    <row r="9" spans="1:5" x14ac:dyDescent="0.25">
      <c r="A9" s="10">
        <v>46204.599259259259</v>
      </c>
      <c r="B9" t="s">
        <v>344</v>
      </c>
      <c r="C9" t="s">
        <v>12</v>
      </c>
      <c r="D9">
        <v>2</v>
      </c>
      <c r="E9" t="s">
        <v>592</v>
      </c>
    </row>
    <row r="10" spans="1:5" x14ac:dyDescent="0.25">
      <c r="A10" s="10">
        <v>46204.599479166667</v>
      </c>
      <c r="B10" t="s">
        <v>344</v>
      </c>
      <c r="C10" t="s">
        <v>593</v>
      </c>
      <c r="D10">
        <v>10</v>
      </c>
      <c r="E10" t="s">
        <v>592</v>
      </c>
    </row>
    <row r="11" spans="1:5" x14ac:dyDescent="0.25">
      <c r="A11" s="10">
        <v>46204.599606481483</v>
      </c>
      <c r="B11" t="s">
        <v>344</v>
      </c>
      <c r="C11" t="s">
        <v>12</v>
      </c>
      <c r="D11">
        <v>1</v>
      </c>
      <c r="E11" t="s">
        <v>592</v>
      </c>
    </row>
    <row r="12" spans="1:5" x14ac:dyDescent="0.25">
      <c r="A12" s="10">
        <v>46217.420300925929</v>
      </c>
      <c r="B12">
        <v>100674</v>
      </c>
      <c r="C12" t="s">
        <v>593</v>
      </c>
      <c r="D12">
        <v>1</v>
      </c>
      <c r="E12" t="s">
        <v>592</v>
      </c>
    </row>
    <row r="13" spans="1:5" x14ac:dyDescent="0.25">
      <c r="A13" s="10">
        <v>46217.446840277778</v>
      </c>
      <c r="B13">
        <v>100674</v>
      </c>
      <c r="C13" t="s">
        <v>593</v>
      </c>
      <c r="D13">
        <v>10</v>
      </c>
      <c r="E13" t="s">
        <v>592</v>
      </c>
    </row>
    <row r="14" spans="1:5" x14ac:dyDescent="0.25">
      <c r="A14" s="10">
        <v>46217.447106481479</v>
      </c>
      <c r="B14">
        <v>100674</v>
      </c>
      <c r="C14" t="s">
        <v>12</v>
      </c>
      <c r="D14">
        <v>11</v>
      </c>
      <c r="E14" t="s">
        <v>592</v>
      </c>
    </row>
    <row r="15" spans="1:5" x14ac:dyDescent="0.25">
      <c r="A15" s="10"/>
    </row>
    <row r="16" spans="1:5" x14ac:dyDescent="0.25">
      <c r="A16" s="10"/>
    </row>
    <row r="17" spans="1:1" x14ac:dyDescent="0.25">
      <c r="A17" s="10"/>
    </row>
    <row r="18" spans="1:1" x14ac:dyDescent="0.25">
      <c r="A18" s="10"/>
    </row>
    <row r="19" spans="1:1" x14ac:dyDescent="0.25">
      <c r="A19" s="10"/>
    </row>
    <row r="20" spans="1:1" x14ac:dyDescent="0.25">
      <c r="A20" s="10"/>
    </row>
    <row r="21" spans="1:1" x14ac:dyDescent="0.25">
      <c r="A21" s="10"/>
    </row>
    <row r="22" spans="1:1" x14ac:dyDescent="0.25">
      <c r="A22" s="10"/>
    </row>
    <row r="23" spans="1:1" x14ac:dyDescent="0.25">
      <c r="A23" s="10"/>
    </row>
    <row r="24" spans="1:1" x14ac:dyDescent="0.25">
      <c r="A24" s="10"/>
    </row>
    <row r="25" spans="1:1" x14ac:dyDescent="0.25">
      <c r="A25" s="10"/>
    </row>
    <row r="26" spans="1:1" x14ac:dyDescent="0.25">
      <c r="A26" s="10"/>
    </row>
    <row r="27" spans="1:1" x14ac:dyDescent="0.25">
      <c r="A27" s="10"/>
    </row>
    <row r="28" spans="1:1" x14ac:dyDescent="0.25">
      <c r="A28" s="10"/>
    </row>
    <row r="29" spans="1:1" x14ac:dyDescent="0.25">
      <c r="A29" s="10"/>
    </row>
    <row r="30" spans="1:1" x14ac:dyDescent="0.25">
      <c r="A30" s="10"/>
    </row>
    <row r="31" spans="1:1" x14ac:dyDescent="0.25">
      <c r="A31" s="10"/>
    </row>
    <row r="32" spans="1:1" x14ac:dyDescent="0.25">
      <c r="A32" s="10"/>
    </row>
    <row r="33" spans="1:1" x14ac:dyDescent="0.25">
      <c r="A33" s="10"/>
    </row>
    <row r="34" spans="1:1" x14ac:dyDescent="0.25">
      <c r="A34" s="10"/>
    </row>
    <row r="35" spans="1:1" x14ac:dyDescent="0.25">
      <c r="A35" s="10"/>
    </row>
    <row r="36" spans="1:1" x14ac:dyDescent="0.25">
      <c r="A36" s="10"/>
    </row>
    <row r="37" spans="1:1" x14ac:dyDescent="0.25">
      <c r="A37" s="10"/>
    </row>
    <row r="38" spans="1:1" x14ac:dyDescent="0.25">
      <c r="A38" s="10"/>
    </row>
    <row r="39" spans="1:1" x14ac:dyDescent="0.25">
      <c r="A39" s="10"/>
    </row>
    <row r="40" spans="1:1" x14ac:dyDescent="0.25">
      <c r="A40" s="10"/>
    </row>
    <row r="41" spans="1:1" x14ac:dyDescent="0.25">
      <c r="A41" s="10"/>
    </row>
    <row r="42" spans="1:1" x14ac:dyDescent="0.25">
      <c r="A42" s="10"/>
    </row>
    <row r="43" spans="1:1" x14ac:dyDescent="0.25">
      <c r="A43" s="10"/>
    </row>
    <row r="44" spans="1:1" x14ac:dyDescent="0.25">
      <c r="A44" s="10"/>
    </row>
    <row r="45" spans="1:1" x14ac:dyDescent="0.25">
      <c r="A45" s="10"/>
    </row>
    <row r="46" spans="1:1" x14ac:dyDescent="0.25">
      <c r="A46" s="10"/>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02D38-6EBF-4E04-B675-9C6537F4BF4F}">
  <sheetPr codeName="Sheet3">
    <tabColor theme="9"/>
  </sheetPr>
  <dimension ref="A1:F14"/>
  <sheetViews>
    <sheetView workbookViewId="0">
      <selection activeCell="E19" sqref="E19"/>
    </sheetView>
  </sheetViews>
  <sheetFormatPr defaultRowHeight="15" x14ac:dyDescent="0.25"/>
  <cols>
    <col min="1" max="1" width="16.140625" customWidth="1"/>
    <col min="2" max="2" width="22" customWidth="1"/>
    <col min="3" max="5" width="11.7109375" customWidth="1"/>
    <col min="6" max="6" width="16.140625" customWidth="1"/>
  </cols>
  <sheetData>
    <row r="1" spans="1:6" ht="31.5" customHeight="1" x14ac:dyDescent="0.25">
      <c r="A1" s="35" t="s">
        <v>579</v>
      </c>
      <c r="B1" s="35" t="s">
        <v>0</v>
      </c>
      <c r="C1" s="35" t="s">
        <v>580</v>
      </c>
      <c r="D1" s="35" t="s">
        <v>581</v>
      </c>
      <c r="E1" s="35" t="s">
        <v>582</v>
      </c>
      <c r="F1" s="35" t="s">
        <v>10</v>
      </c>
    </row>
    <row r="2" spans="1:6" x14ac:dyDescent="0.25">
      <c r="A2" s="10">
        <v>46204.451724537037</v>
      </c>
      <c r="B2" t="s">
        <v>163</v>
      </c>
      <c r="C2">
        <v>2</v>
      </c>
      <c r="D2">
        <v>2</v>
      </c>
      <c r="E2">
        <v>0</v>
      </c>
      <c r="F2" t="s">
        <v>592</v>
      </c>
    </row>
    <row r="3" spans="1:6" x14ac:dyDescent="0.25">
      <c r="A3" s="10">
        <v>46204.451805555553</v>
      </c>
      <c r="B3" t="s">
        <v>163</v>
      </c>
      <c r="C3">
        <v>2</v>
      </c>
      <c r="D3">
        <v>3</v>
      </c>
      <c r="E3">
        <v>1</v>
      </c>
      <c r="F3" t="s">
        <v>592</v>
      </c>
    </row>
    <row r="4" spans="1:6" x14ac:dyDescent="0.25">
      <c r="A4" s="10">
        <v>46204.451898148145</v>
      </c>
      <c r="B4" t="s">
        <v>163</v>
      </c>
      <c r="C4">
        <v>3</v>
      </c>
      <c r="D4">
        <v>0</v>
      </c>
      <c r="E4">
        <v>-3</v>
      </c>
      <c r="F4" t="s">
        <v>592</v>
      </c>
    </row>
    <row r="5" spans="1:6" x14ac:dyDescent="0.25">
      <c r="A5" s="10">
        <v>46204.452488425923</v>
      </c>
      <c r="B5" t="s">
        <v>163</v>
      </c>
      <c r="C5">
        <v>11</v>
      </c>
      <c r="D5">
        <v>2</v>
      </c>
      <c r="E5">
        <v>-9</v>
      </c>
      <c r="F5" t="s">
        <v>592</v>
      </c>
    </row>
    <row r="6" spans="1:6" x14ac:dyDescent="0.25">
      <c r="A6" s="10">
        <v>46204.45275462963</v>
      </c>
      <c r="B6" t="s">
        <v>163</v>
      </c>
      <c r="C6">
        <v>2</v>
      </c>
      <c r="D6">
        <v>0</v>
      </c>
      <c r="E6">
        <v>-2</v>
      </c>
      <c r="F6" t="s">
        <v>592</v>
      </c>
    </row>
    <row r="7" spans="1:6" x14ac:dyDescent="0.25">
      <c r="A7" s="10">
        <v>46204.452997685185</v>
      </c>
      <c r="B7" t="s">
        <v>163</v>
      </c>
      <c r="C7">
        <v>0</v>
      </c>
      <c r="D7">
        <v>1</v>
      </c>
      <c r="E7">
        <v>1</v>
      </c>
      <c r="F7" t="s">
        <v>592</v>
      </c>
    </row>
    <row r="8" spans="1:6" x14ac:dyDescent="0.25">
      <c r="A8" s="10">
        <v>46204.453483796293</v>
      </c>
      <c r="B8" t="s">
        <v>269</v>
      </c>
      <c r="C8">
        <v>3</v>
      </c>
      <c r="D8">
        <v>3</v>
      </c>
      <c r="E8">
        <v>0</v>
      </c>
      <c r="F8" t="s">
        <v>592</v>
      </c>
    </row>
    <row r="9" spans="1:6" x14ac:dyDescent="0.25">
      <c r="A9" s="10">
        <v>46204.454224537039</v>
      </c>
      <c r="B9" t="s">
        <v>252</v>
      </c>
      <c r="C9">
        <v>3</v>
      </c>
      <c r="D9">
        <v>1</v>
      </c>
      <c r="E9">
        <v>-2</v>
      </c>
      <c r="F9" t="s">
        <v>592</v>
      </c>
    </row>
    <row r="10" spans="1:6" x14ac:dyDescent="0.25">
      <c r="A10" s="10">
        <v>46204.454351851855</v>
      </c>
      <c r="B10" t="s">
        <v>252</v>
      </c>
      <c r="C10">
        <v>1</v>
      </c>
      <c r="D10">
        <v>2</v>
      </c>
      <c r="E10">
        <v>1</v>
      </c>
      <c r="F10" t="s">
        <v>592</v>
      </c>
    </row>
    <row r="11" spans="1:6" x14ac:dyDescent="0.25">
      <c r="A11" s="10">
        <v>46204.456250000003</v>
      </c>
      <c r="B11" t="s">
        <v>269</v>
      </c>
      <c r="C11">
        <v>3</v>
      </c>
      <c r="D11">
        <v>2</v>
      </c>
      <c r="E11">
        <v>-1</v>
      </c>
      <c r="F11" t="s">
        <v>592</v>
      </c>
    </row>
    <row r="12" spans="1:6" x14ac:dyDescent="0.25">
      <c r="A12" s="10">
        <v>46204.456388888888</v>
      </c>
      <c r="B12" t="s">
        <v>269</v>
      </c>
      <c r="C12">
        <v>2</v>
      </c>
      <c r="D12">
        <v>3</v>
      </c>
      <c r="E12">
        <v>1</v>
      </c>
      <c r="F12" t="s">
        <v>592</v>
      </c>
    </row>
    <row r="13" spans="1:6" x14ac:dyDescent="0.25">
      <c r="A13" s="10">
        <v>46204.456620370373</v>
      </c>
      <c r="B13" t="s">
        <v>269</v>
      </c>
      <c r="C13">
        <v>3</v>
      </c>
      <c r="D13">
        <v>3</v>
      </c>
      <c r="E13">
        <v>0</v>
      </c>
      <c r="F13" t="s">
        <v>592</v>
      </c>
    </row>
    <row r="14" spans="1:6" x14ac:dyDescent="0.25">
      <c r="A14" s="10">
        <v>46217.447268518517</v>
      </c>
      <c r="B14">
        <v>100674</v>
      </c>
      <c r="C14">
        <v>1</v>
      </c>
      <c r="D14">
        <v>50</v>
      </c>
      <c r="E14">
        <v>49</v>
      </c>
      <c r="F14" t="s">
        <v>592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8FBD26-6400-4F52-B5EA-42068E367C39}">
  <sheetPr codeName="Sheet6">
    <tabColor rgb="FFFF0000"/>
  </sheetPr>
  <dimension ref="A1:G12"/>
  <sheetViews>
    <sheetView workbookViewId="0">
      <selection activeCell="B2" sqref="B2:E11"/>
    </sheetView>
  </sheetViews>
  <sheetFormatPr defaultRowHeight="15" x14ac:dyDescent="0.25"/>
  <cols>
    <col min="1" max="1" width="10" bestFit="1" customWidth="1"/>
    <col min="2" max="2" width="92.7109375" bestFit="1" customWidth="1"/>
    <col min="3" max="3" width="8.42578125" bestFit="1" customWidth="1"/>
    <col min="4" max="4" width="8.5703125" bestFit="1" customWidth="1"/>
    <col min="5" max="5" width="4.42578125" bestFit="1" customWidth="1"/>
    <col min="6" max="6" width="11.7109375" bestFit="1" customWidth="1"/>
    <col min="7" max="7" width="8.7109375" bestFit="1" customWidth="1"/>
  </cols>
  <sheetData>
    <row r="1" spans="1:7" s="11" customFormat="1" x14ac:dyDescent="0.25">
      <c r="A1" s="11" t="s">
        <v>0</v>
      </c>
      <c r="B1" s="11" t="s">
        <v>141</v>
      </c>
      <c r="C1" s="11" t="s">
        <v>2</v>
      </c>
      <c r="D1" s="11" t="s">
        <v>142</v>
      </c>
      <c r="E1" s="11" t="s">
        <v>143</v>
      </c>
      <c r="F1" s="11" t="s">
        <v>144</v>
      </c>
      <c r="G1" s="11" t="s">
        <v>145</v>
      </c>
    </row>
    <row r="2" spans="1:7" x14ac:dyDescent="0.25">
      <c r="A2" t="s">
        <v>173</v>
      </c>
      <c r="B2" t="s">
        <v>30</v>
      </c>
      <c r="C2" t="s">
        <v>23</v>
      </c>
      <c r="D2">
        <v>1</v>
      </c>
      <c r="E2">
        <v>2</v>
      </c>
      <c r="F2">
        <v>3</v>
      </c>
      <c r="G2" t="s">
        <v>146</v>
      </c>
    </row>
    <row r="3" spans="1:7" x14ac:dyDescent="0.25">
      <c r="A3" t="s">
        <v>188</v>
      </c>
      <c r="B3" t="s">
        <v>45</v>
      </c>
      <c r="C3" t="s">
        <v>41</v>
      </c>
      <c r="D3">
        <v>0</v>
      </c>
      <c r="E3">
        <v>1</v>
      </c>
      <c r="F3">
        <v>3</v>
      </c>
      <c r="G3" t="s">
        <v>147</v>
      </c>
    </row>
    <row r="4" spans="1:7" x14ac:dyDescent="0.25">
      <c r="A4" t="s">
        <v>281</v>
      </c>
      <c r="B4" t="s">
        <v>302</v>
      </c>
      <c r="C4" t="s">
        <v>70</v>
      </c>
      <c r="D4">
        <v>0</v>
      </c>
      <c r="E4">
        <v>2</v>
      </c>
      <c r="F4">
        <v>10</v>
      </c>
      <c r="G4" t="s">
        <v>147</v>
      </c>
    </row>
    <row r="5" spans="1:7" x14ac:dyDescent="0.25">
      <c r="A5" t="s">
        <v>310</v>
      </c>
      <c r="B5" t="s">
        <v>369</v>
      </c>
      <c r="C5" t="s">
        <v>483</v>
      </c>
      <c r="D5">
        <v>1</v>
      </c>
      <c r="E5">
        <v>2</v>
      </c>
      <c r="F5">
        <v>5</v>
      </c>
      <c r="G5" t="s">
        <v>146</v>
      </c>
    </row>
    <row r="6" spans="1:7" x14ac:dyDescent="0.25">
      <c r="A6" t="s">
        <v>322</v>
      </c>
      <c r="B6" t="s">
        <v>381</v>
      </c>
      <c r="C6" t="s">
        <v>483</v>
      </c>
      <c r="D6">
        <v>3</v>
      </c>
      <c r="E6">
        <v>4</v>
      </c>
      <c r="F6">
        <v>5</v>
      </c>
      <c r="G6" t="s">
        <v>146</v>
      </c>
    </row>
    <row r="7" spans="1:7" x14ac:dyDescent="0.25">
      <c r="A7" t="s">
        <v>326</v>
      </c>
      <c r="B7" t="s">
        <v>385</v>
      </c>
      <c r="C7" t="s">
        <v>483</v>
      </c>
      <c r="E7">
        <v>12</v>
      </c>
      <c r="F7">
        <v>20</v>
      </c>
      <c r="G7" t="s">
        <v>147</v>
      </c>
    </row>
    <row r="8" spans="1:7" x14ac:dyDescent="0.25">
      <c r="A8" t="s">
        <v>327</v>
      </c>
      <c r="B8" t="s">
        <v>386</v>
      </c>
      <c r="C8" t="s">
        <v>483</v>
      </c>
      <c r="E8">
        <v>12</v>
      </c>
      <c r="F8">
        <v>20</v>
      </c>
      <c r="G8" t="s">
        <v>147</v>
      </c>
    </row>
    <row r="9" spans="1:7" x14ac:dyDescent="0.25">
      <c r="A9" t="s">
        <v>328</v>
      </c>
      <c r="B9" t="s">
        <v>387</v>
      </c>
      <c r="C9" t="s">
        <v>483</v>
      </c>
      <c r="D9">
        <v>1</v>
      </c>
      <c r="E9">
        <v>2</v>
      </c>
      <c r="F9">
        <v>5</v>
      </c>
      <c r="G9" t="s">
        <v>146</v>
      </c>
    </row>
    <row r="10" spans="1:7" x14ac:dyDescent="0.25">
      <c r="A10" t="s">
        <v>538</v>
      </c>
      <c r="B10" t="s">
        <v>543</v>
      </c>
      <c r="C10" t="s">
        <v>548</v>
      </c>
      <c r="D10">
        <v>0</v>
      </c>
      <c r="E10">
        <v>2</v>
      </c>
      <c r="F10">
        <v>4</v>
      </c>
      <c r="G10" t="s">
        <v>147</v>
      </c>
    </row>
    <row r="11" spans="1:7" x14ac:dyDescent="0.25">
      <c r="A11" t="s">
        <v>539</v>
      </c>
      <c r="B11" t="s">
        <v>544</v>
      </c>
      <c r="C11" t="s">
        <v>548</v>
      </c>
      <c r="D11">
        <v>0</v>
      </c>
      <c r="E11">
        <v>1</v>
      </c>
      <c r="F11">
        <v>2</v>
      </c>
      <c r="G11" t="s">
        <v>147</v>
      </c>
    </row>
    <row r="12" spans="1:7" x14ac:dyDescent="0.25">
      <c r="A12" t="s">
        <v>541</v>
      </c>
      <c r="B12" t="s">
        <v>546</v>
      </c>
      <c r="C12" t="s">
        <v>548</v>
      </c>
      <c r="D12">
        <v>0</v>
      </c>
      <c r="E12">
        <v>1</v>
      </c>
      <c r="F12">
        <v>2</v>
      </c>
      <c r="G12" t="s">
        <v>147</v>
      </c>
    </row>
  </sheetData>
  <conditionalFormatting sqref="A2:G12">
    <cfRule type="expression" dxfId="1" priority="1" stopIfTrue="1">
      <formula>$D2=0</formula>
    </cfRule>
    <cfRule type="expression" dxfId="0" priority="2" stopIfTrue="1">
      <formula>$D2&lt;$E2</formula>
    </cfRule>
  </conditionalFormatting>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954903-77C5-435E-B57F-AA6F5C80DF50}">
  <sheetPr codeName="Sheet7"/>
  <dimension ref="A1:G6"/>
  <sheetViews>
    <sheetView workbookViewId="0">
      <selection activeCell="F4" sqref="F4"/>
    </sheetView>
  </sheetViews>
  <sheetFormatPr defaultRowHeight="15" x14ac:dyDescent="0.25"/>
  <cols>
    <col min="3" max="3" width="14.85546875" customWidth="1"/>
    <col min="6" max="6" width="24.7109375" customWidth="1"/>
    <col min="7" max="7" width="21" customWidth="1"/>
  </cols>
  <sheetData>
    <row r="1" spans="1:7" x14ac:dyDescent="0.25">
      <c r="A1" t="s">
        <v>0</v>
      </c>
      <c r="B1" t="s">
        <v>141</v>
      </c>
      <c r="C1" t="s">
        <v>148</v>
      </c>
      <c r="D1" t="s">
        <v>143</v>
      </c>
      <c r="E1" t="s">
        <v>149</v>
      </c>
      <c r="F1" t="s">
        <v>150</v>
      </c>
      <c r="G1" t="s">
        <v>151</v>
      </c>
    </row>
    <row r="2" spans="1:7" x14ac:dyDescent="0.25">
      <c r="A2">
        <v>100674</v>
      </c>
      <c r="B2" t="s">
        <v>121</v>
      </c>
      <c r="C2">
        <v>10</v>
      </c>
      <c r="D2">
        <v>1</v>
      </c>
      <c r="E2">
        <v>5</v>
      </c>
      <c r="F2">
        <v>-5</v>
      </c>
      <c r="G2" s="10">
        <v>46190.343819444446</v>
      </c>
    </row>
    <row r="3" spans="1:7" x14ac:dyDescent="0.25">
      <c r="A3" t="s">
        <v>269</v>
      </c>
      <c r="B3" t="s">
        <v>289</v>
      </c>
      <c r="C3">
        <v>4</v>
      </c>
      <c r="D3">
        <v>6</v>
      </c>
      <c r="E3">
        <v>2</v>
      </c>
      <c r="F3">
        <v>-2</v>
      </c>
      <c r="G3" s="10">
        <v>46204.404745370368</v>
      </c>
    </row>
    <row r="4" spans="1:7" x14ac:dyDescent="0.25">
      <c r="A4" t="s">
        <v>163</v>
      </c>
      <c r="B4" t="s">
        <v>18</v>
      </c>
      <c r="C4">
        <v>2</v>
      </c>
      <c r="D4">
        <v>2</v>
      </c>
      <c r="E4">
        <v>1</v>
      </c>
      <c r="F4">
        <v>-1</v>
      </c>
      <c r="G4" s="10">
        <v>46204.45103009259</v>
      </c>
    </row>
    <row r="5" spans="1:7" x14ac:dyDescent="0.25">
      <c r="A5">
        <v>100416</v>
      </c>
      <c r="B5" t="s">
        <v>432</v>
      </c>
      <c r="C5">
        <v>4</v>
      </c>
      <c r="D5">
        <v>4</v>
      </c>
      <c r="E5">
        <v>2</v>
      </c>
      <c r="F5">
        <v>-2</v>
      </c>
      <c r="G5" s="10">
        <v>46204.597638888888</v>
      </c>
    </row>
    <row r="6" spans="1:7" x14ac:dyDescent="0.25">
      <c r="A6" t="s">
        <v>344</v>
      </c>
      <c r="B6" t="s">
        <v>437</v>
      </c>
      <c r="C6">
        <v>7</v>
      </c>
      <c r="D6">
        <v>6</v>
      </c>
      <c r="E6">
        <v>2</v>
      </c>
      <c r="F6">
        <v>-5</v>
      </c>
      <c r="G6" s="10">
        <v>46204.599236111113</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29EB0-2C1E-42B3-B62A-38653811F8C9}">
  <sheetPr codeName="Sheet8"/>
  <dimension ref="A1"/>
  <sheetViews>
    <sheetView workbookViewId="0"/>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322C24-669B-4635-88F1-DFF94349B89A}">
  <sheetPr codeName="Sheet9"/>
  <dimension ref="A1:B4"/>
  <sheetViews>
    <sheetView workbookViewId="0">
      <selection activeCell="D4" sqref="D4"/>
    </sheetView>
  </sheetViews>
  <sheetFormatPr defaultRowHeight="15" x14ac:dyDescent="0.25"/>
  <cols>
    <col min="1" max="1" width="10.85546875" bestFit="1" customWidth="1"/>
  </cols>
  <sheetData>
    <row r="1" spans="1:2" x14ac:dyDescent="0.25">
      <c r="A1" t="s">
        <v>152</v>
      </c>
      <c r="B1">
        <f>COUNTA(Inventory!A:A)-1</f>
        <v>254</v>
      </c>
    </row>
    <row r="2" spans="1:2" x14ac:dyDescent="0.25">
      <c r="A2" t="s">
        <v>153</v>
      </c>
      <c r="B2" t="e" cm="1" vm="1">
        <f t="array" aca="1" ref="B2" ca="1">COUNTIF(Inventory!G:G,"&lt;="&amp;Inventory!F:F)</f>
        <v>#VALUE!</v>
      </c>
    </row>
    <row r="3" spans="1:2" x14ac:dyDescent="0.25">
      <c r="A3" t="s">
        <v>154</v>
      </c>
      <c r="B3">
        <f>SUM(Inventory!G:G)</f>
        <v>0</v>
      </c>
    </row>
    <row r="4" spans="1:2" x14ac:dyDescent="0.25">
      <c r="A4" t="s">
        <v>155</v>
      </c>
      <c r="B4">
        <f>COUNTIF(Inventory!G:G,0)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4F63DF-3802-4A49-8BFC-351288DB7EDC}">
  <sheetPr codeName="Sheet10"/>
  <dimension ref="A1:B8"/>
  <sheetViews>
    <sheetView workbookViewId="0">
      <selection activeCell="B7" sqref="B7"/>
    </sheetView>
  </sheetViews>
  <sheetFormatPr defaultRowHeight="15" x14ac:dyDescent="0.25"/>
  <cols>
    <col min="2" max="2" width="15.140625" bestFit="1" customWidth="1"/>
  </cols>
  <sheetData>
    <row r="1" spans="1:2" x14ac:dyDescent="0.25">
      <c r="A1" t="s">
        <v>590</v>
      </c>
      <c r="B1" t="s">
        <v>591</v>
      </c>
    </row>
    <row r="2" spans="1:2" x14ac:dyDescent="0.25">
      <c r="A2">
        <v>21904</v>
      </c>
      <c r="B2" t="s">
        <v>585</v>
      </c>
    </row>
    <row r="3" spans="1:2" x14ac:dyDescent="0.25">
      <c r="A3">
        <v>1234</v>
      </c>
      <c r="B3" t="s">
        <v>586</v>
      </c>
    </row>
    <row r="4" spans="1:2" x14ac:dyDescent="0.25">
      <c r="A4">
        <v>1235</v>
      </c>
      <c r="B4" t="s">
        <v>587</v>
      </c>
    </row>
    <row r="5" spans="1:2" x14ac:dyDescent="0.25">
      <c r="A5">
        <v>1236</v>
      </c>
      <c r="B5" t="s">
        <v>589</v>
      </c>
    </row>
    <row r="6" spans="1:2" x14ac:dyDescent="0.25">
      <c r="A6">
        <v>1237</v>
      </c>
      <c r="B6" t="s">
        <v>588</v>
      </c>
    </row>
    <row r="7" spans="1:2" x14ac:dyDescent="0.25">
      <c r="A7">
        <v>3205</v>
      </c>
      <c r="B7" t="s">
        <v>592</v>
      </c>
    </row>
    <row r="8" spans="1:2" x14ac:dyDescent="0.25">
      <c r="A8">
        <v>4734</v>
      </c>
      <c r="B8" t="s">
        <v>597</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5"/>
  <sheetViews>
    <sheetView workbookViewId="0">
      <selection activeCell="I18" sqref="I18"/>
    </sheetView>
  </sheetViews>
  <sheetFormatPr defaultRowHeight="15" x14ac:dyDescent="0.25"/>
  <cols>
    <col min="1" max="2" width="30" customWidth="1"/>
  </cols>
  <sheetData>
    <row r="1" spans="1:2" x14ac:dyDescent="0.25">
      <c r="A1" t="s">
        <v>11</v>
      </c>
    </row>
    <row r="2" spans="1:2" x14ac:dyDescent="0.25">
      <c r="A2" t="s">
        <v>8</v>
      </c>
      <c r="B2" t="s">
        <v>12</v>
      </c>
    </row>
    <row r="3" spans="1:2" x14ac:dyDescent="0.25">
      <c r="A3" t="s">
        <v>9</v>
      </c>
      <c r="B3">
        <v>1</v>
      </c>
    </row>
    <row r="5" spans="1:2" x14ac:dyDescent="0.25">
      <c r="A5" t="s">
        <v>13</v>
      </c>
      <c r="B5" t="s">
        <v>14</v>
      </c>
    </row>
  </sheetData>
  <dataValidations count="1">
    <dataValidation type="list" sqref="B2" xr:uid="{00000000-0002-0000-0300-000000000000}">
      <formula1>"ADD,REMOVE"</formula1>
    </dataValidation>
  </dataValidations>
  <pageMargins left="0.75" right="0.75" top="1" bottom="1" header="0.5" footer="0.5"/>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OpenScannerUI">
                <anchor moveWithCells="1" sizeWithCells="1">
                  <from>
                    <xdr:col>1</xdr:col>
                    <xdr:colOff>485775</xdr:colOff>
                    <xdr:row>8</xdr:row>
                    <xdr:rowOff>123825</xdr:rowOff>
                  </from>
                  <to>
                    <xdr:col>3</xdr:col>
                    <xdr:colOff>581025</xdr:colOff>
                    <xdr:row>13</xdr:row>
                    <xdr:rowOff>142875</xdr:rowOff>
                  </to>
                </anchor>
              </controlPr>
            </control>
          </mc:Choice>
        </mc:AlternateContent>
      </controls>
    </mc:Choice>
  </mc:AlternateContent>
</worksheet>
</file>

<file path=docMetadata/LabelInfo.xml><?xml version="1.0" encoding="utf-8"?>
<clbl:labelList xmlns:clbl="http://schemas.microsoft.com/office/2020/mipLabelMetadata">
  <clbl:label id="{f30ec625-ea67-4b4a-9071-c265111c2bdd}" enabled="0" method="" siteId="{f30ec625-ea67-4b4a-9071-c265111c2bdd}"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Launcher</vt:lpstr>
      <vt:lpstr>Inventory</vt:lpstr>
      <vt:lpstr>Transactions</vt:lpstr>
      <vt:lpstr>InventoryAudit</vt:lpstr>
      <vt:lpstr>ReorderReport</vt:lpstr>
      <vt:lpstr>ReorderQueue</vt:lpstr>
      <vt:lpstr>Usage Summary</vt:lpstr>
      <vt:lpstr>Dashboard</vt:lpstr>
      <vt:lpstr>Users</vt:lpstr>
      <vt:lpstr>Scanner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Reese McCord</cp:lastModifiedBy>
  <cp:lastPrinted>2026-06-23T13:53:23Z</cp:lastPrinted>
  <dcterms:created xsi:type="dcterms:W3CDTF">2026-06-10T15:40:42Z</dcterms:created>
  <dcterms:modified xsi:type="dcterms:W3CDTF">2026-10-08T13:51:39Z</dcterms:modified>
</cp:coreProperties>
</file>